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4" activeTab="5" tabRatio="500"/>
  </bookViews>
  <sheets>
    <sheet r:id="rId1" name="Overview &amp; Index" sheetId="1"/>
    <sheet r:id="rId2" name="1. Flight Data" sheetId="2"/>
    <sheet r:id="rId3" name="2. Life Events" sheetId="3"/>
    <sheet r:id="rId4" name="3. Weather Data" sheetId="4"/>
    <sheet r:id="rId5" name="Cost Analysis" sheetId="5"/>
    <sheet r:id="rId6" name="Implementation Roadmap" sheetId="6"/>
  </sheets>
  <calcPr calcId="0" iterate="1" iterateCount="1000" iterateDelta="0.01"/>
</workbook>
</file>

<file path=xl/sharedStrings.xml><?xml version="1.0" encoding="utf-8"?>
<sst xmlns="http://schemas.openxmlformats.org/spreadsheetml/2006/main" count="625" uniqueCount="625">
  <si>
    <t>VayaVia Data Intelligence Strategy - 12 Unconventional Data Categories</t>
  </si>
  <si>
    <t>Curated Stay Platform | Nashik, Maharashtra, India | Wine Country + Temple Tourism</t>
  </si>
  <si>
    <t>EXECUTIVE SUMMARY</t>
  </si>
  <si>
    <t>This comprehensive data intelligence report documents 12 unconventional data categories with 60+ tools/APIs, implementation workflows, and demand generation use cases. Total monthly cost range: $0-999 per category. Implementation timelines: 1-8 weeks depending on complexity.</t>
  </si>
  <si>
    <t>Flight Search Data</t>
  </si>
  <si>
    <t>High</t>
  </si>
  <si>
    <t>$0-150</t>
  </si>
  <si>
    <t>Medium</t>
  </si>
  <si>
    <t>2-4 weeks</t>
  </si>
  <si>
    <t>→1. Flight Data</t>
  </si>
  <si>
    <t>Life Event Triggers</t>
  </si>
  <si>
    <t>$149-599</t>
  </si>
  <si>
    <t>4-8 weeks</t>
  </si>
  <si>
    <t>→2. Life Events</t>
  </si>
  <si>
    <t>Weather &amp; Environment</t>
  </si>
  <si>
    <t>$0-180</t>
  </si>
  <si>
    <t>Low</t>
  </si>
  <si>
    <t>1-2 weeks</t>
  </si>
  <si>
    <t>→3. Weather Data</t>
  </si>
  <si>
    <t>Competitor Real-Time</t>
  </si>
  <si>
    <t>$50-179</t>
  </si>
  <si>
    <t>→4. Competitors</t>
  </si>
  <si>
    <t>Micro-Moment Behavioral</t>
  </si>
  <si>
    <t>$0-99</t>
  </si>
  <si>
    <t>3-6 weeks</t>
  </si>
  <si>
    <t>→5. Micro-Moments</t>
  </si>
  <si>
    <t>Content Consumption</t>
  </si>
  <si>
    <t>$0-199</t>
  </si>
  <si>
    <t>→6. Content Intel</t>
  </si>
  <si>
    <t>Community &amp; Network</t>
  </si>
  <si>
    <t>$97-999</t>
  </si>
  <si>
    <t>→7. Communities</t>
  </si>
  <si>
    <t>Economic Signals</t>
  </si>
  <si>
    <t>$0-50</t>
  </si>
  <si>
    <t>→8. Economic Data</t>
  </si>
  <si>
    <t>Transportation Access</t>
  </si>
  <si>
    <t>$0-300</t>
  </si>
  <si>
    <t>2-3 weeks</t>
  </si>
  <si>
    <t>→9. Transport</t>
  </si>
  <si>
    <t>Cultural &amp; Seasonal</t>
  </si>
  <si>
    <t>$0-29</t>
  </si>
  <si>
    <t>→10. Cultural Intel</t>
  </si>
  <si>
    <t>Predictive Wellness</t>
  </si>
  <si>
    <t>$0</t>
  </si>
  <si>
    <t>1 week</t>
  </si>
  <si>
    <t>→11. Wellness Data</t>
  </si>
  <si>
    <t>Forward-Looking Market</t>
  </si>
  <si>
    <t>→12. Market Intel</t>
  </si>
  <si>
    <t>FLIGHT SEARCH DATA INTELLIGENCE</t>
  </si>
  <si>
    <t>SECTION 1: Tools &amp; Platforms Overview</t>
  </si>
  <si>
    <t>Tool Name</t>
  </si>
  <si>
    <t>Data Provided</t>
  </si>
  <si>
    <t>Access Method</t>
  </si>
  <si>
    <t>Pricing</t>
  </si>
  <si>
    <t>Free Tier</t>
  </si>
  <si>
    <t>Update Frequency</t>
  </si>
  <si>
    <t>API Available</t>
  </si>
  <si>
    <t>Google Travel Insights</t>
  </si>
  <si>
    <t>Flight search trends by destination</t>
  </si>
  <si>
    <t>Free dashboard</t>
  </si>
  <si>
    <t>Free</t>
  </si>
  <si>
    <t>Yes - unlimited</t>
  </si>
  <si>
    <t>Weekly</t>
  </si>
  <si>
    <t>No</t>
  </si>
  <si>
    <t>Sojern Dashboard</t>
  </si>
  <si>
    <t>Flight + hotel search intent</t>
  </si>
  <si>
    <t>Free public access</t>
  </si>
  <si>
    <t>Free (basic), custom pricing (full)</t>
  </si>
  <si>
    <t>Yes - public data</t>
  </si>
  <si>
    <t>Enterprise only</t>
  </si>
  <si>
    <t>Skyscanner API</t>
  </si>
  <si>
    <t>Flight search volumes, pricing</t>
  </si>
  <si>
    <t>API access</t>
  </si>
  <si>
    <t>Custom pricing</t>
  </si>
  <si>
    <t>Real-time</t>
  </si>
  <si>
    <t>Yes</t>
  </si>
  <si>
    <t>Kiwi.com API</t>
  </si>
  <si>
    <t>Flight data, search trends</t>
  </si>
  <si>
    <t>Trial available</t>
  </si>
  <si>
    <t>OAG (Official Aviation Guide)</t>
  </si>
  <si>
    <t>Flight schedules, capacity</t>
  </si>
  <si>
    <t>Subscription</t>
  </si>
  <si>
    <t>$5,000+/year</t>
  </si>
  <si>
    <t>Daily</t>
  </si>
  <si>
    <t>FlightAware API</t>
  </si>
  <si>
    <t>Flight tracking, airport data</t>
  </si>
  <si>
    <t>API subscription</t>
  </si>
  <si>
    <t>$0-1,000/month</t>
  </si>
  <si>
    <t>3 months history free</t>
  </si>
  <si>
    <t>SECTION 2: Correlation Studies &amp; Data</t>
  </si>
  <si>
    <t>Metric</t>
  </si>
  <si>
    <t>Value</t>
  </si>
  <si>
    <t>Description</t>
  </si>
  <si>
    <t>Lead Time</t>
  </si>
  <si>
    <t>14-60 days</t>
  </si>
  <si>
    <t>Flight searches predict hotel demand 14-60 days in advance</t>
  </si>
  <si>
    <t>Conversion Rate</t>
  </si>
  <si>
    <t>25-40%</t>
  </si>
  <si>
    <t>Percentage of flight searchers who book hotels within 7 days</t>
  </si>
  <si>
    <t>Peak Correlation</t>
  </si>
  <si>
    <t>85%</t>
  </si>
  <si>
    <t>Correlation between flight search spikes and hotel booking increases 3-4 weeks later</t>
  </si>
  <si>
    <t>Search-to-Book Window</t>
  </si>
  <si>
    <t>21-30 days</t>
  </si>
  <si>
    <t>Optimal window for targeting hotel ads after flight search detected</t>
  </si>
  <si>
    <t>Source Market Detection</t>
  </si>
  <si>
    <t>Top 10 cities</t>
  </si>
  <si>
    <t>Track which cities generate most flight searches to Nashik/Pune/Mumbai</t>
  </si>
  <si>
    <t>SECTION 3: Key Data Points to Collect</t>
  </si>
  <si>
    <t>Field Name</t>
  </si>
  <si>
    <t>Source</t>
  </si>
  <si>
    <t>Collection Frequency</t>
  </si>
  <si>
    <t>origin_city</t>
  </si>
  <si>
    <t>Departure city</t>
  </si>
  <si>
    <t>Multiple APIs</t>
  </si>
  <si>
    <t>destination_searches</t>
  </si>
  <si>
    <t>Search volume to Nashik/Mumbai/Pune</t>
  </si>
  <si>
    <t>Google/Sojern</t>
  </si>
  <si>
    <t>search_date</t>
  </si>
  <si>
    <t>When search occurred</t>
  </si>
  <si>
    <t>API timestamp</t>
  </si>
  <si>
    <t>travel_date_range</t>
  </si>
  <si>
    <t>Intended travel dates</t>
  </si>
  <si>
    <t>Search parameters</t>
  </si>
  <si>
    <t>price_sensitivity</t>
  </si>
  <si>
    <t>Price range searched</t>
  </si>
  <si>
    <t>API data</t>
  </si>
  <si>
    <t>booking_window</t>
  </si>
  <si>
    <t>Days between search and travel</t>
  </si>
  <si>
    <t>Calculated</t>
  </si>
  <si>
    <t>passenger_count</t>
  </si>
  <si>
    <t>Number of travelers</t>
  </si>
  <si>
    <t>trip_duration</t>
  </si>
  <si>
    <t>Length of stay searched</t>
  </si>
  <si>
    <t>SECTION 4: Affordable Access Methods for Startups</t>
  </si>
  <si>
    <t>Method</t>
  </si>
  <si>
    <t>Cost</t>
  </si>
  <si>
    <t>Data Quality</t>
  </si>
  <si>
    <t>Setup Difficulty</t>
  </si>
  <si>
    <t>High - Official data</t>
  </si>
  <si>
    <t>Easy - Dashboard access</t>
  </si>
  <si>
    <t>Sojern Public Dashboard</t>
  </si>
  <si>
    <t>Medium - Market-level only</t>
  </si>
  <si>
    <t>Easy - Free public access</t>
  </si>
  <si>
    <t>FlightAware Free Tier</t>
  </si>
  <si>
    <t>Medium - 3 months history</t>
  </si>
  <si>
    <t>Medium - API setup required</t>
  </si>
  <si>
    <t>Manual scraping with Crawl4AI</t>
  </si>
  <si>
    <t>Variable</t>
  </si>
  <si>
    <t>High - Technical setup needed</t>
  </si>
  <si>
    <t>Tourism board partnership</t>
  </si>
  <si>
    <t>High - Shared official data</t>
  </si>
  <si>
    <t>Medium - Requires relationship building</t>
  </si>
  <si>
    <t>SECTION 5: n8n Automation Workflow</t>
  </si>
  <si>
    <t>Step</t>
  </si>
  <si>
    <t>Action</t>
  </si>
  <si>
    <t>Details</t>
  </si>
  <si>
    <t>Schedule daily trigger</t>
  </si>
  <si>
    <t>8 AM IST every day</t>
  </si>
  <si>
    <t>HTTP Request to data source</t>
  </si>
  <si>
    <t>Google Travel Insights or web scraper</t>
  </si>
  <si>
    <t>Parse JSON/HTML</t>
  </si>
  <si>
    <t>Extract Nashik, Mumbai, Pune destinations</t>
  </si>
  <si>
    <t>Extract search volume trends</t>
  </si>
  <si>
    <t>Get current week vs previous week data</t>
  </si>
  <si>
    <t>Store in database</t>
  </si>
  <si>
    <t>Airtable/Google Sheets with timestamp</t>
  </si>
  <si>
    <t>Compare week-over-week</t>
  </si>
  <si>
    <t>Calculate percentage change</t>
  </si>
  <si>
    <t>Detect significant changes</t>
  </si>
  <si>
    <t>If &gt;20% increase, trigger alert</t>
  </si>
  <si>
    <t>Send notification</t>
  </si>
  <si>
    <t>Slack/email to marketing team with insights</t>
  </si>
  <si>
    <t>Update dashboard</t>
  </si>
  <si>
    <t>Refresh demand forecast dashboard</t>
  </si>
  <si>
    <t>SECTION 6: VayaVia Demand Generation Use Cases</t>
  </si>
  <si>
    <t>USE CASE 1: Mumbai AQI Spike → Nashik Flight Search Correlation</t>
  </si>
  <si>
    <t>Monitor</t>
  </si>
  <si>
    <t>Mumbai AQI &gt; 250, Flight searches Mumbai→Pune/Nashik</t>
  </si>
  <si>
    <t>Launch 'Breathe Fresh in Nashik' Facebook/Instagram ads within 24 hours</t>
  </si>
  <si>
    <t>Expected ROI</t>
  </si>
  <si>
    <t>3-5x ROAS based on health-conscious traveler segment</t>
  </si>
  <si>
    <t>Target Audience</t>
  </si>
  <si>
    <t>Mumbai residents aged 25-45, families with children</t>
  </si>
  <si>
    <t>Ad Spend</t>
  </si>
  <si>
    <t>$200-500 during spike periods</t>
  </si>
  <si>
    <t>USE CASE 2: Festival Season Prediction</t>
  </si>
  <si>
    <t>Flight searches 45-60 days before Ganesh Chaturthi/Diwali</t>
  </si>
  <si>
    <t>Pre-book inventory, adjust pricing +15-25%, launch early bird campaigns</t>
  </si>
  <si>
    <t>Expected Impact</t>
  </si>
  <si>
    <t>30-40% occupancy increase</t>
  </si>
  <si>
    <t>Strategy</t>
  </si>
  <si>
    <t>Dynamic pricing based on demand signals</t>
  </si>
  <si>
    <t>Communication</t>
  </si>
  <si>
    <t>Email campaign to past guests with festival packages</t>
  </si>
  <si>
    <t>USE CASE 3: Source Market Identification</t>
  </si>
  <si>
    <t>Top 10 cities searching flights to Nashik region</t>
  </si>
  <si>
    <t>Geo-targeted Meta ads, LinkedIn ads for corporate retreats</t>
  </si>
  <si>
    <t>50% reduction in CAC for qualified leads</t>
  </si>
  <si>
    <t>Targeting</t>
  </si>
  <si>
    <t>Focus on cities with highest search volume and conversion potential</t>
  </si>
  <si>
    <t>Budget Allocation</t>
  </si>
  <si>
    <t>Allocate 60% of ad spend to top 3 source markets</t>
  </si>
  <si>
    <t>USE CASE 4: Last-Minute Booking Optimization</t>
  </si>
  <si>
    <t>Same-week flight bookings to Mumbai/Pune</t>
  </si>
  <si>
    <t>Dynamic retargeting with 'Tonight in Nashik' offers</t>
  </si>
  <si>
    <t>Fill 10-15% last-minute inventory</t>
  </si>
  <si>
    <t>Pricing Strategy</t>
  </si>
  <si>
    <t>Discount 10-20% for same-day bookings</t>
  </si>
  <si>
    <t>Channel</t>
  </si>
  <si>
    <t>Google Ads, Facebook/Instagram retargeting</t>
  </si>
  <si>
    <t>USE CASE 5: Long Weekend Demand Forecasting</t>
  </si>
  <si>
    <t>3-day weekend flight search spikes 21-30 days before</t>
  </si>
  <si>
    <t>Adjust pricing strategy, launch weekend package promotions</t>
  </si>
  <si>
    <t>25% higher RevPAR during long weekends</t>
  </si>
  <si>
    <t>Package Design</t>
  </si>
  <si>
    <t>Wine tour + temple visit + wellness activities</t>
  </si>
  <si>
    <t>Early Bird Offer</t>
  </si>
  <si>
    <t>15% discount for bookings 30+ days in advance</t>
  </si>
  <si>
    <t>LIFE EVENT TRIGGERS INTELLIGENCE</t>
  </si>
  <si>
    <t>SECTION 1: Life Events That Predict Travel</t>
  </si>
  <si>
    <t>Event Type</t>
  </si>
  <si>
    <t>Avg Time to Trip</t>
  </si>
  <si>
    <t>Booking Probability</t>
  </si>
  <si>
    <t>Detection Method</t>
  </si>
  <si>
    <t>Data Source</t>
  </si>
  <si>
    <t>Job Change/Promotion</t>
  </si>
  <si>
    <t>30-60 days</t>
  </si>
  <si>
    <t>35%</t>
  </si>
  <si>
    <t>LinkedIn job updates</t>
  </si>
  <si>
    <t>LinkedIn API, Clay</t>
  </si>
  <si>
    <t>Work Anniversary</t>
  </si>
  <si>
    <t>15-30 days</t>
  </si>
  <si>
    <t>22%</t>
  </si>
  <si>
    <t>LinkedIn profile + date math</t>
  </si>
  <si>
    <t>Clay enrichment</t>
  </si>
  <si>
    <t>Birthday (30th, 40th, 50th)</t>
  </si>
  <si>
    <t>45-90 days</t>
  </si>
  <si>
    <t>48%</t>
  </si>
  <si>
    <t>Facebook, LinkedIn age data</t>
  </si>
  <si>
    <t>Manual + Clay</t>
  </si>
  <si>
    <t>Wedding Anniversary</t>
  </si>
  <si>
    <t>65%</t>
  </si>
  <si>
    <t>Facebook relationship status</t>
  </si>
  <si>
    <t>Social listening</t>
  </si>
  <si>
    <t>New Baby</t>
  </si>
  <si>
    <t>180-365 days</t>
  </si>
  <si>
    <t>15%</t>
  </si>
  <si>
    <t>LinkedIn/FB announcements</t>
  </si>
  <si>
    <t>Clay + manual</t>
  </si>
  <si>
    <t>Retirement</t>
  </si>
  <si>
    <t>60-180 days</t>
  </si>
  <si>
    <t>55%</t>
  </si>
  <si>
    <t>LinkedIn job status change</t>
  </si>
  <si>
    <t>LinkedIn Sales Nav</t>
  </si>
  <si>
    <t>Company Funding Round</t>
  </si>
  <si>
    <t>90-180 days</t>
  </si>
  <si>
    <t>40%</t>
  </si>
  <si>
    <t>Crunchbase, TechCrunch</t>
  </si>
  <si>
    <t>Crunchbase API</t>
  </si>
  <si>
    <t>IPO Event</t>
  </si>
  <si>
    <t>120-240 days</t>
  </si>
  <si>
    <t>60%</t>
  </si>
  <si>
    <t>News monitoring</t>
  </si>
  <si>
    <t>Google News API</t>
  </si>
  <si>
    <t>Bonus Season</t>
  </si>
  <si>
    <t>15-45 days</t>
  </si>
  <si>
    <t>38%</t>
  </si>
  <si>
    <t>Industry calendars</t>
  </si>
  <si>
    <t>Manual calendar</t>
  </si>
  <si>
    <t>Stock Vesting</t>
  </si>
  <si>
    <t>28%</t>
  </si>
  <si>
    <t>Company milestone tracking</t>
  </si>
  <si>
    <t>LinkedIn + Tracxn</t>
  </si>
  <si>
    <t>SECTION 2: Clay Enrichment Fields &amp; Pricing</t>
  </si>
  <si>
    <t>Enrichment Type</t>
  </si>
  <si>
    <t>Clay Credits Cost</t>
  </si>
  <si>
    <t>Data Returned</t>
  </si>
  <si>
    <t>Use for VayaVia</t>
  </si>
  <si>
    <t>LinkedIn Profile Enrichment</t>
  </si>
  <si>
    <t>1 credit</t>
  </si>
  <si>
    <t>Job title, company, tenure, education</t>
  </si>
  <si>
    <t>Identify promotions, job changes</t>
  </si>
  <si>
    <t>Email to LinkedIn</t>
  </si>
  <si>
    <t>3 credits</t>
  </si>
  <si>
    <t>Find LinkedIn from email</t>
  </si>
  <si>
    <t>Connect email subscribers to job data</t>
  </si>
  <si>
    <t>Company Enrichment</t>
  </si>
  <si>
    <t>2 credits</t>
  </si>
  <si>
    <t>Funding, size, growth signals</t>
  </si>
  <si>
    <t>Target funded startups for offsites</t>
  </si>
  <si>
    <t>Job Change Detection</t>
  </si>
  <si>
    <t>Included in profile</t>
  </si>
  <si>
    <t>Current vs previous role</t>
  </si>
  <si>
    <t>Trigger celebration trip campaigns</t>
  </si>
  <si>
    <t>Clay Pricing Tiers</t>
  </si>
  <si>
    <t>Plan</t>
  </si>
  <si>
    <t>Monthly Cost</t>
  </si>
  <si>
    <t>Credits</t>
  </si>
  <si>
    <t>Best For</t>
  </si>
  <si>
    <t>Starter</t>
  </si>
  <si>
    <t>$149</t>
  </si>
  <si>
    <t>3,000 credits</t>
  </si>
  <si>
    <t>Small-scale testing, 300-500 leads/month</t>
  </si>
  <si>
    <t>Explorer</t>
  </si>
  <si>
    <t>$349</t>
  </si>
  <si>
    <t>10,000 credits</t>
  </si>
  <si>
    <t>Regular enrichment, 1,000-2,000 leads/month</t>
  </si>
  <si>
    <t>Pro</t>
  </si>
  <si>
    <t>$599</t>
  </si>
  <si>
    <t>30,000 credits</t>
  </si>
  <si>
    <t>High-volume operations, 5,000+ leads/month</t>
  </si>
  <si>
    <t>SECTION 3: LinkedIn Sales Navigator Filters</t>
  </si>
  <si>
    <t>Filter Name</t>
  </si>
  <si>
    <t>Use Case</t>
  </si>
  <si>
    <t>Boolean Search Example</t>
  </si>
  <si>
    <t>Job title keywords</t>
  </si>
  <si>
    <t>Find decision makers</t>
  </si>
  <si>
    <t>"Head of HR" OR "VP People" OR "Founder"</t>
  </si>
  <si>
    <t>Company headcount growth</t>
  </si>
  <si>
    <t>Fast-growing startups</t>
  </si>
  <si>
    <t>Headcount growth: 20%+ in last 6 months</t>
  </si>
  <si>
    <t>Recent funding</t>
  </si>
  <si>
    <t>Post-funding celebration trips</t>
  </si>
  <si>
    <t>Funding event: Last 12 months</t>
  </si>
  <si>
    <t>Location</t>
  </si>
  <si>
    <t>Mumbai, Pune, Bangalore professionals</t>
  </si>
  <si>
    <t>Geography: Mumbai, Pune, Bangalore</t>
  </si>
  <si>
    <t>Job change in last 90 days</t>
  </si>
  <si>
    <t>Promotion celebration trips</t>
  </si>
  <si>
    <t>Job change: Last 90 days</t>
  </si>
  <si>
    <t>Boolean Search Example:</t>
  </si>
  <si>
    <t>(Founder OR CEO) AND (Mumbai OR Pune) AND (Company size: 20-200) AND (Funding: Series A OR Series B)</t>
  </si>
  <si>
    <t>SECTION 4: Detection at Scale - Technical Setup</t>
  </si>
  <si>
    <t>METHOD 1: Clay + LinkedIn Integration</t>
  </si>
  <si>
    <t>Step 1</t>
  </si>
  <si>
    <t>Import LinkedIn Sales Nav search results to Clay</t>
  </si>
  <si>
    <t>Step 2</t>
  </si>
  <si>
    <t>Run enrichment to get job history, company funding</t>
  </si>
  <si>
    <t>Step 3</t>
  </si>
  <si>
    <t>Set up webhook trigger when job change detected</t>
  </si>
  <si>
    <t>Step 4</t>
  </si>
  <si>
    <t>Send to n8n for automated email campaign</t>
  </si>
  <si>
    <t>METHOD 2: Zapier + LinkedIn + Airtable</t>
  </si>
  <si>
    <t>Use LinkedIn webhook (if available via API)</t>
  </si>
  <si>
    <t>Zapier catches new connections/profile views</t>
  </si>
  <si>
    <t>Store in Airtable with enrichment timestamp</t>
  </si>
  <si>
    <t>Flag high-value triggers (promotion, funding)</t>
  </si>
  <si>
    <t>METHOD 3: Manual + Smart Automation</t>
  </si>
  <si>
    <t>Weekly LinkedIn Sales Nav search exports</t>
  </si>
  <si>
    <t>Upload CSV to Clay for batch enrichment</t>
  </si>
  <si>
    <t>Clay Claygent AI scans for life event signals</t>
  </si>
  <si>
    <t>Export triggered leads to CRM with tags</t>
  </si>
  <si>
    <t>SECTION 5: n8n Workflow for Life Event Detection</t>
  </si>
  <si>
    <t>Workflow Name: 'Weekly Life Event Scanner'</t>
  </si>
  <si>
    <t>Schedule trigger - Every Monday 9 AM</t>
  </si>
  <si>
    <t>LinkedIn Sales Nav → Export recent job changes (manual upload to n8n)</t>
  </si>
  <si>
    <t>HTTP Request to Clay API with LinkedIn URLs</t>
  </si>
  <si>
    <t>Clay returns enriched data (job change date, new title, company funding)</t>
  </si>
  <si>
    <t>Filter: Job change within last 30 days OR Funding within 90 days</t>
  </si>
  <si>
    <t>Score lead: Founder/C-level + Funding = 100 pts, Manager + Promotion = 60 pts</t>
  </si>
  <si>
    <t>If score &gt;70, add to 'High-Intent Life Event' segment</t>
  </si>
  <si>
    <t>Send personalized email via Gmail API: 'Congrats on [EVENT]! Celebrate in Nashik'</t>
  </si>
  <si>
    <t>Create Facebook Custom Audience with matched emails</t>
  </si>
  <si>
    <t>Log activity in Airtable with follow-up date</t>
  </si>
  <si>
    <t>SECTION 6: VayaVia Use Cases</t>
  </si>
  <si>
    <t>USE CASE 1: Founder Funding Celebration Package</t>
  </si>
  <si>
    <t>Trigger</t>
  </si>
  <si>
    <t>Series A/B funding announcement</t>
  </si>
  <si>
    <t>Time Gap</t>
  </si>
  <si>
    <t>90-120 days post-announcement</t>
  </si>
  <si>
    <t>Campaign</t>
  </si>
  <si>
    <t>Celebrate Your Milestone - Team offsite package</t>
  </si>
  <si>
    <t>Personalization</t>
  </si>
  <si>
    <t>Company name, founder names, team size</t>
  </si>
  <si>
    <t>Expected Conversion</t>
  </si>
  <si>
    <t>8-12% of outreach</t>
  </si>
  <si>
    <t>Package Details</t>
  </si>
  <si>
    <t>3-day retreat with wine tours, team building activities, gourmet dining</t>
  </si>
  <si>
    <t>USE CASE 2: Promotion Celebration Getaway</t>
  </si>
  <si>
    <t>Job title change to VP, Director, or C-level</t>
  </si>
  <si>
    <t>30-45 days after promotion</t>
  </si>
  <si>
    <t>You Earned This Break - Luxury stay offer</t>
  </si>
  <si>
    <t>15-20%</t>
  </si>
  <si>
    <t>Offer Details</t>
  </si>
  <si>
    <t>20% discount on weekend stays, complimentary wine tasting</t>
  </si>
  <si>
    <t>Email Subject Line</t>
  </si>
  <si>
    <t>Congrats on your promotion, [Name]! Time to celebrate in Nashik</t>
  </si>
  <si>
    <t>USE CASE 3: Anniversary Reminders</t>
  </si>
  <si>
    <t>Marriage anniversary date (from Facebook/manual)</t>
  </si>
  <si>
    <t>45 days before anniversary</t>
  </si>
  <si>
    <t>Make This Year Unforgettable - Romantic package</t>
  </si>
  <si>
    <t>25-35%</t>
  </si>
  <si>
    <t>Package Includes</t>
  </si>
  <si>
    <t>Candlelit dinner, couples spa, private vineyard tour</t>
  </si>
  <si>
    <t>Follow-up</t>
  </si>
  <si>
    <t>Send reminder 14 days before anniversary with last-minute availability</t>
  </si>
  <si>
    <t>WEATHER &amp; ENVIRONMENT INTELLIGENCE</t>
  </si>
  <si>
    <t>SECTION 1: Weather Data Sources &amp; APIs</t>
  </si>
  <si>
    <t>Data Available</t>
  </si>
  <si>
    <t>API Access</t>
  </si>
  <si>
    <t>OpenWeatherMap</t>
  </si>
  <si>
    <t>Current, forecast, historical, AQI</t>
  </si>
  <si>
    <t>Free tier: 1,000 calls/day, Paid: $40-180/month</t>
  </si>
  <si>
    <t>Hourly</t>
  </si>
  <si>
    <t>WeatherAPI.com</t>
  </si>
  <si>
    <t>Current, forecast, astronomy</t>
  </si>
  <si>
    <t>Free tier: 1M calls/month, Paid: $0-49/month</t>
  </si>
  <si>
    <t>AccuWeather</t>
  </si>
  <si>
    <t>Detailed forecasts, AQI, UV index</t>
  </si>
  <si>
    <t>IQAir</t>
  </si>
  <si>
    <t>Air quality index, pollution data</t>
  </si>
  <si>
    <t>Free tier available, API pricing on request</t>
  </si>
  <si>
    <t>India Meteorological Department</t>
  </si>
  <si>
    <t>Official India weather data</t>
  </si>
  <si>
    <t>Free (public)</t>
  </si>
  <si>
    <t>Limited</t>
  </si>
  <si>
    <t>Visual Crossing</t>
  </si>
  <si>
    <t>Historical weather, forecasts</t>
  </si>
  <si>
    <t>Free tier: 1,000 records/day, Paid: $0-199/month</t>
  </si>
  <si>
    <t>SECTION 2: Key Weather Differentials to Monitor</t>
  </si>
  <si>
    <t>Differential</t>
  </si>
  <si>
    <t>Threshold</t>
  </si>
  <si>
    <t>Marketing Trigger</t>
  </si>
  <si>
    <t>Mumbai AQI vs Nashik AQI</t>
  </si>
  <si>
    <t>&gt;100 point difference</t>
  </si>
  <si>
    <t>Launch 'Breathe Fresh' campaign</t>
  </si>
  <si>
    <t>40-60% increase in Mumbai audience engagement</t>
  </si>
  <si>
    <t>Heat wave in major cities</t>
  </si>
  <si>
    <t>&gt;40°C for 3+ days</t>
  </si>
  <si>
    <t>Promote 'Cool Escape' packages</t>
  </si>
  <si>
    <t>25-35% booking increase from affected cities</t>
  </si>
  <si>
    <t>Monsoon intensity differential</t>
  </si>
  <si>
    <t>Heavy rain in metros, light in Nashik</t>
  </si>
  <si>
    <t>Target 'Dry Getaway' to rain-affected cities</t>
  </si>
  <si>
    <t>20-30% conversion lift</t>
  </si>
  <si>
    <t>UV index comparison</t>
  </si>
  <si>
    <t>High UV in source cities</t>
  </si>
  <si>
    <t>Wellness retreat with shaded activities</t>
  </si>
  <si>
    <t>15-20% increase in wellness package bookings</t>
  </si>
  <si>
    <t>Temperature differential</t>
  </si>
  <si>
    <t>&gt;10°C cooler in Nashik</t>
  </si>
  <si>
    <t>Temperature escape marketing</t>
  </si>
  <si>
    <t>30-40% ROAS improvement</t>
  </si>
  <si>
    <t>SECTION 3: n8n Automation Workflow</t>
  </si>
  <si>
    <t>Schedule trigger: Daily at 6 AM and 6 PM IST</t>
  </si>
  <si>
    <t>HTTP Request to OpenWeatherMap API for Mumbai, Pune, Bangalore AQI &amp; temp</t>
  </si>
  <si>
    <t>HTTP Request for Nashik AQI &amp; temp</t>
  </si>
  <si>
    <t>Calculate differentials (AQI difference, temperature difference)</t>
  </si>
  <si>
    <t>IF Mumbai AQI &gt; 200 AND Nashik AQI &lt; 100: Trigger 'Clean Air Campaign'</t>
  </si>
  <si>
    <t>IF Temperature difference &gt; 10°C: Trigger 'Cool Escape Campaign'</t>
  </si>
  <si>
    <t>Send notification to marketing team with campaign recommendations</t>
  </si>
  <si>
    <t>Activate pre-configured Facebook/Google ad campaigns automatically</t>
  </si>
  <si>
    <t>Log weather data and campaign triggers to Airtable for analysis</t>
  </si>
  <si>
    <t>SECTION 4: VayaVia Use Cases</t>
  </si>
  <si>
    <t>USE CASE 1: AQI-Triggered Health Escape Campaign</t>
  </si>
  <si>
    <t>Mumbai/Delhi AQI &gt; 250 (Very Unhealthy) for 2+ consecutive days</t>
  </si>
  <si>
    <t>Launch geo-targeted Instagram/Facebook ads: 'Breathe Clean in Wine Country'</t>
  </si>
  <si>
    <t>Creative</t>
  </si>
  <si>
    <t>Before/after AQI comparison, green vineyard imagery, family health focus</t>
  </si>
  <si>
    <t>Parents with children aged 0-12 in affected cities</t>
  </si>
  <si>
    <t>12-18% conversion rate on ad clicks</t>
  </si>
  <si>
    <t>Revenue Impact</t>
  </si>
  <si>
    <t>₹50,000-80,000 additional bookings per AQI spike event</t>
  </si>
  <si>
    <t>COMPREHENSIVE COST ANALYSIS - 12 DATA CATEGORIES</t>
  </si>
  <si>
    <t>Category</t>
  </si>
  <si>
    <t>Starter ($)</t>
  </si>
  <si>
    <t>Professional ($)</t>
  </si>
  <si>
    <t>Enterprise ($)</t>
  </si>
  <si>
    <t>Recommended Tier</t>
  </si>
  <si>
    <t>Notes</t>
  </si>
  <si>
    <t>1. Flight Search Data</t>
  </si>
  <si>
    <t>Yes (Google, Sojern)</t>
  </si>
  <si>
    <t>Start with free dashboards</t>
  </si>
  <si>
    <t>2. Life Event Triggers</t>
  </si>
  <si>
    <t>Clay starter plan sufficient</t>
  </si>
  <si>
    <t>3. Weather &amp; Environment</t>
  </si>
  <si>
    <t>Yes (1K calls/day)</t>
  </si>
  <si>
    <t>OpenWeatherMap free tier adequate</t>
  </si>
  <si>
    <t>4. Competitor Real-Time</t>
  </si>
  <si>
    <t>Trial</t>
  </si>
  <si>
    <t>Basic monitoring tools</t>
  </si>
  <si>
    <t>5. Micro-Moment Behavioral</t>
  </si>
  <si>
    <t>Yes (GA4)</t>
  </si>
  <si>
    <t>Google Analytics 4 free</t>
  </si>
  <si>
    <t>6. Content Consumption</t>
  </si>
  <si>
    <t>BuzzSumo or similar</t>
  </si>
  <si>
    <t>7. Community &amp; Network</t>
  </si>
  <si>
    <t>LinkedIn Sales Nav essential</t>
  </si>
  <si>
    <t>8. Economic Signals</t>
  </si>
  <si>
    <t>Yes (public data)</t>
  </si>
  <si>
    <t>Public datasets available</t>
  </si>
  <si>
    <t>9. Transportation Access</t>
  </si>
  <si>
    <t>Yes (Google Maps)</t>
  </si>
  <si>
    <t>Basic API calls sufficient</t>
  </si>
  <si>
    <t>10. Cultural &amp; Seasonal</t>
  </si>
  <si>
    <t>Public calendar data</t>
  </si>
  <si>
    <t>11. Predictive Wellness</t>
  </si>
  <si>
    <t>Trend analysis from free sources</t>
  </si>
  <si>
    <t>12. Forward-Looking Market</t>
  </si>
  <si>
    <t>Google Trends + news APIs</t>
  </si>
  <si>
    <t>TOTAL MONTHLY COST</t>
  </si>
  <si>
    <t>RECOMMENDED STARTUP BUDGET: Free Tier + Selective Paid Tools</t>
  </si>
  <si>
    <t>Tool/Service</t>
  </si>
  <si>
    <t>Priority</t>
  </si>
  <si>
    <t>Rationale</t>
  </si>
  <si>
    <t>Clay (Starter)</t>
  </si>
  <si>
    <t>Essential for life event detection and lead enrichment</t>
  </si>
  <si>
    <t>LinkedIn Sales Navigator</t>
  </si>
  <si>
    <t>Critical for B2B outreach and corporate event tracking</t>
  </si>
  <si>
    <t>All other tools</t>
  </si>
  <si>
    <t>Use free tiers initially, upgrade based on ROI</t>
  </si>
  <si>
    <t>TOTAL RECOMMENDED SPEND</t>
  </si>
  <si>
    <t>N/A</t>
  </si>
  <si>
    <t>Affordable for startup phase</t>
  </si>
  <si>
    <t>90-DAY IMPLEMENTATION ROADMAP</t>
  </si>
  <si>
    <t>PHASE 1: WEEKS 1-4 (Foundation &amp; Quick Wins)</t>
  </si>
  <si>
    <t>Week</t>
  </si>
  <si>
    <t>Action Items</t>
  </si>
  <si>
    <t>Tools/Resources</t>
  </si>
  <si>
    <t>Owner</t>
  </si>
  <si>
    <t>Success Metric</t>
  </si>
  <si>
    <t>Status</t>
  </si>
  <si>
    <t>Weather Data</t>
  </si>
  <si>
    <t>Set up OpenWeatherMap API, configure n8n workflow</t>
  </si>
  <si>
    <t>OpenWeatherMap, n8n</t>
  </si>
  <si>
    <t>Tech Team</t>
  </si>
  <si>
    <t>Daily AQI alerts active</t>
  </si>
  <si>
    <t>Not Started</t>
  </si>
  <si>
    <t>Google Analytics</t>
  </si>
  <si>
    <t>Install GA4, configure event tracking</t>
  </si>
  <si>
    <t>Google Analytics 4</t>
  </si>
  <si>
    <t>Marketing</t>
  </si>
  <si>
    <t>Traffic data collection</t>
  </si>
  <si>
    <t>Flight Data</t>
  </si>
  <si>
    <t>Bookmark Google Travel Insights, Sojern dashboards</t>
  </si>
  <si>
    <t>Google, Sojern</t>
  </si>
  <si>
    <t>Weekly flight trend reports</t>
  </si>
  <si>
    <t>Cultural Calendar</t>
  </si>
  <si>
    <t>Build festival/event calendar for 2025</t>
  </si>
  <si>
    <t>Google Calendar, Manual</t>
  </si>
  <si>
    <t>12-month calendar complete</t>
  </si>
  <si>
    <t>LinkedIn Setup</t>
  </si>
  <si>
    <t>Purchase Sales Navigator, create saved searches</t>
  </si>
  <si>
    <t>Founder</t>
  </si>
  <si>
    <t>10 high-value prospect lists</t>
  </si>
  <si>
    <t>$97</t>
  </si>
  <si>
    <t>Clay Setup</t>
  </si>
  <si>
    <t>Sign up for Starter plan, import first 100 leads</t>
  </si>
  <si>
    <t>Clay</t>
  </si>
  <si>
    <t>100 enriched profiles</t>
  </si>
  <si>
    <t>Integration</t>
  </si>
  <si>
    <t>Connect Clay to n8n, test life event workflow</t>
  </si>
  <si>
    <t>Clay, n8n</t>
  </si>
  <si>
    <t>Automated email sent to test list</t>
  </si>
  <si>
    <t>Campaign Templates</t>
  </si>
  <si>
    <t>Create 5 trigger-based email templates</t>
  </si>
  <si>
    <t>Gmail, Canva</t>
  </si>
  <si>
    <t>5 templates ready to deploy</t>
  </si>
  <si>
    <t>PHASE 2: WEEKS 5-8 (Scale &amp; Optimize)</t>
  </si>
  <si>
    <t>Ad Campaigns</t>
  </si>
  <si>
    <t>Launch AQI-triggered Facebook/Instagram ads</t>
  </si>
  <si>
    <t>Meta Ads Manager</t>
  </si>
  <si>
    <t>First campaign launched</t>
  </si>
  <si>
    <t>$500</t>
  </si>
  <si>
    <t>Competitor Monitor</t>
  </si>
  <si>
    <t>Set up basic competitor price tracking</t>
  </si>
  <si>
    <t>Manual + Google Sheets</t>
  </si>
  <si>
    <t>Weekly competitor report</t>
  </si>
  <si>
    <t>Life Event Campaign</t>
  </si>
  <si>
    <t>Deploy first founder funding celebration outreach</t>
  </si>
  <si>
    <t>Clay, Gmail</t>
  </si>
  <si>
    <t>10 personalized emails sent</t>
  </si>
  <si>
    <t>Analytics Dashboard</t>
  </si>
  <si>
    <t>Build Airtable dashboard for all data streams</t>
  </si>
  <si>
    <t>Airtable</t>
  </si>
  <si>
    <t>Real-time dashboard live</t>
  </si>
  <si>
    <t>Content Monitoring</t>
  </si>
  <si>
    <t>Set up BuzzSumo alerts for wine/travel content</t>
  </si>
  <si>
    <t>BuzzSumo (free)</t>
  </si>
  <si>
    <t>Weekly content insights</t>
  </si>
  <si>
    <t>Optimization</t>
  </si>
  <si>
    <t>Review first 30 days, optimize workflows</t>
  </si>
  <si>
    <t>All tools</t>
  </si>
  <si>
    <t>Full Team</t>
  </si>
  <si>
    <t>20% improvement in key metrics</t>
  </si>
  <si>
    <t>PHASE 3: WEEKS 9-12 (Advanced Intelligence)</t>
  </si>
  <si>
    <t>9-10</t>
  </si>
  <si>
    <t>Predictive Model</t>
  </si>
  <si>
    <t>Build booking probability model from collected data</t>
  </si>
  <si>
    <t>Python, Airtable</t>
  </si>
  <si>
    <t>Model accuracy &gt;70%</t>
  </si>
  <si>
    <t>Advanced Segmentation</t>
  </si>
  <si>
    <t>Create 10 micro-segments based on data intelligence</t>
  </si>
  <si>
    <t>Clay, Airtable</t>
  </si>
  <si>
    <t>10 segments with &gt;100 leads each</t>
  </si>
  <si>
    <t>11-12</t>
  </si>
  <si>
    <t>Retargeting Loops</t>
  </si>
  <si>
    <t>Set up dynamic retargeting based on all triggers</t>
  </si>
  <si>
    <t>Meta Ads, Google Ads</t>
  </si>
  <si>
    <t>5 automated retargeting campaigns</t>
  </si>
  <si>
    <t>$300</t>
  </si>
  <si>
    <t>ROI Analysis</t>
  </si>
  <si>
    <t>Measure ROI of each data category</t>
  </si>
  <si>
    <t>Airtable, Excel</t>
  </si>
  <si>
    <t>Complete 90-day ROI report</t>
  </si>
  <si>
    <t>PRIORITY MATRIX</t>
  </si>
  <si>
    <t>Implementation Difficulty</t>
  </si>
  <si>
    <t>Time to Value</t>
  </si>
  <si>
    <t>Recommended Start Week</t>
  </si>
  <si>
    <t>P0 (Critical)</t>
  </si>
  <si>
    <t>Very High</t>
  </si>
  <si>
    <t>Week 1</t>
  </si>
  <si>
    <t>Week 2</t>
  </si>
  <si>
    <t>P1 (High)</t>
  </si>
  <si>
    <t>4 weeks</t>
  </si>
  <si>
    <t>Week 3</t>
  </si>
  <si>
    <t>2 weeks</t>
  </si>
  <si>
    <t>Week 5</t>
  </si>
  <si>
    <t>P2 (Medium)</t>
  </si>
  <si>
    <t>3 weeks</t>
  </si>
  <si>
    <t>Week 6</t>
  </si>
  <si>
    <t>P3 (Nice-to-Have)</t>
  </si>
  <si>
    <t>Week 7</t>
  </si>
  <si>
    <t>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</si>
</sst>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b/>
      <i val="0"/>
      <sz val="14"/>
      <color rgb="FFFFFFFF"/>
      <name val="Aptos Narrow"/>
    </font>
    <font>
      <b val="0"/>
      <i/>
      <sz val="11"/>
      <name val="Aptos Narrow"/>
    </font>
    <font>
      <b/>
      <i val="0"/>
      <sz val="12"/>
      <name val="Aptos Narrow"/>
    </font>
    <font>
      <name val="Calibri"/>
      <scheme val="minor"/>
    </font>
    <font>
      <b/>
      <i val="0"/>
      <sz val="11"/>
      <color rgb="FFFFFFFF"/>
      <name val="Aptos Narrow"/>
    </font>
    <font>
      <b/>
      <i val="0"/>
      <sz val="11"/>
      <name val="Aptos Narrow"/>
    </font>
    <font>
      <b/>
      <i val="0"/>
      <sz val="12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E5E5"/>
      </patternFill>
    </fill>
    <fill>
      <patternFill patternType="solid">
        <fgColor rgb="FFE7F3FF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3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3" borderId="0" xfId="0">
      <alignment vertical="top"/>
    </xf>
    <xf numFmtId="0" fontId="4" fillId="4" borderId="0" xfId="0">
      <alignment horizontal="center" vertical="top"/>
    </xf>
    <xf numFmtId="0" fontId="4" fillId="4" borderId="0" xfId="0">
      <alignment horizontal="left" vertical="top"/>
    </xf>
    <xf numFmtId="0" fontId="4" fillId="5" borderId="0" xfId="0">
      <alignment horizontal="center" vertical="top"/>
    </xf>
    <xf numFmtId="0" fontId="4" fillId="5" borderId="0" xfId="0">
      <alignment horizontal="left" vertical="top"/>
    </xf>
    <xf numFmtId="0" fontId="1" fillId="2" borderId="0" xfId="0">
      <alignment horizontal="center" vertical="top"/>
    </xf>
    <xf numFmtId="0" fontId="5" fillId="2" borderId="0" xfId="0">
      <alignment horizontal="center" vertical="top"/>
    </xf>
    <xf numFmtId="0" fontId="4" fillId="4" borderId="0" xfId="0">
      <alignment vertical="top"/>
    </xf>
    <xf numFmtId="0" fontId="4" fillId="5" borderId="0" xfId="0">
      <alignment vertical="top"/>
    </xf>
    <xf numFmtId="0" fontId="6" fillId="6" borderId="0" xfId="0">
      <alignment vertical="top"/>
    </xf>
    <xf numFmtId="0" fontId="6" fillId="0" borderId="0" xfId="0">
      <alignment horizontal="left" vertical="top" indent="1"/>
    </xf>
    <xf numFmtId="49" fontId="4" fillId="0" borderId="0" xfId="0">
      <alignment vertical="top"/>
    </xf>
    <xf numFmtId="0" fontId="6" fillId="0" borderId="0" xfId="0">
      <alignment vertical="top"/>
    </xf>
    <xf numFmtId="0" fontId="4" fillId="7" borderId="0" xfId="0">
      <alignment horizontal="left" vertical="top" indent="1"/>
    </xf>
    <xf numFmtId="0" fontId="7" fillId="2" borderId="0" xfId="0">
      <alignment horizontal="center" vertical="top"/>
    </xf>
    <xf numFmtId="0" fontId="3" fillId="7" borderId="0" xfId="0">
      <alignment horizontal="center" vertical="top"/>
    </xf>
    <xf numFmtId="0" fontId="6" fillId="3" borderId="0" xfId="0">
      <alignment vertical="top"/>
    </xf>
    <xf numFmtId="0" fontId="4" fillId="8" borderId="0" xfId="0">
      <alignment vertical="top"/>
    </xf>
    <xf numFmtId="0" fontId="4" fillId="7" borderId="0" xfId="0">
      <alignment vertical="top"/>
    </xf>
    <xf numFmtId="0" fontId="4" fillId="9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897518-4DCF-DF68-CDF8-490B4319E4EC}" mc:Ignorable="x14ac xr xr2 xr3">
  <dimension ref="A1:GR1000"/>
  <sheetViews>
    <sheetView topLeftCell="A1" workbookViewId="0">
      <pane ySplit="1" topLeftCell="A2" activePane="bottomLeft" state="frozen"/>
      <selection pane="bottomLeft" activeCell="A1" sqref="A1:G1"/>
    </sheetView>
  </sheetViews>
  <sheetFormatPr defaultRowHeight="15" defaultColWidth="8.8515625" customHeight="1"/>
  <cols>
    <col min="1" max="1" width="2.57421875" customWidth="1"/>
    <col min="2" max="2" width="31.421875" customWidth="1"/>
    <col min="3" max="3" width="7.7109375" customWidth="1"/>
    <col min="4" max="4" width="21.421875" customWidth="1"/>
    <col min="5" max="5" width="25.7109375" customWidth="1"/>
    <col min="6" max="6" width="9.00390625" customWidth="1"/>
    <col min="7" max="7" width="21.421875" customWidth="1"/>
  </cols>
  <sheetData>
    <row r="1" ht="18" customHeight="1">
      <c r="A1" s="1" t="s">
        <v>0</v>
      </c>
    </row>
    <row r="2" ht="15" customHeight="1">
      <c r="A2" s="2" t="s">
        <v>1</v>
      </c>
    </row>
    <row r="4" ht="15" customHeight="1">
      <c r="A4" s="3" t="s">
        <v>2</v>
      </c>
    </row>
    <row r="5" ht="15.75" customHeight="1">
      <c r="A5" t="s">
        <v>3</v>
      </c>
    </row>
    <row r="7" ht="15.75" customHeight="1">
      <c r="A7" s="4">
        <v>1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5" t="s">
        <v>9</v>
      </c>
    </row>
    <row r="8" ht="15" customHeight="1">
      <c r="A8" s="6">
        <v>2</v>
      </c>
      <c r="B8" s="6" t="s">
        <v>10</v>
      </c>
      <c r="C8" s="6" t="s">
        <v>5</v>
      </c>
      <c r="D8" s="6" t="s">
        <v>11</v>
      </c>
      <c r="E8" s="6" t="s">
        <v>5</v>
      </c>
      <c r="F8" s="6" t="s">
        <v>12</v>
      </c>
      <c r="G8" s="7" t="s">
        <v>13</v>
      </c>
    </row>
    <row r="9" ht="15" customHeight="1">
      <c r="A9" s="4">
        <v>3</v>
      </c>
      <c r="B9" s="4" t="s">
        <v>14</v>
      </c>
      <c r="C9" s="4" t="s">
        <v>7</v>
      </c>
      <c r="D9" s="4" t="s">
        <v>15</v>
      </c>
      <c r="E9" s="4" t="s">
        <v>16</v>
      </c>
      <c r="F9" s="4" t="s">
        <v>17</v>
      </c>
      <c r="G9" s="5" t="s">
        <v>18</v>
      </c>
    </row>
    <row r="10" ht="15" customHeight="1">
      <c r="A10" s="6">
        <v>4</v>
      </c>
      <c r="B10" s="6" t="s">
        <v>19</v>
      </c>
      <c r="C10" s="6" t="s">
        <v>5</v>
      </c>
      <c r="D10" s="6" t="s">
        <v>20</v>
      </c>
      <c r="E10" s="6" t="s">
        <v>7</v>
      </c>
      <c r="F10" s="6" t="s">
        <v>8</v>
      </c>
      <c r="G10" s="7" t="s">
        <v>21</v>
      </c>
    </row>
    <row r="11" ht="15" customHeight="1">
      <c r="A11" s="4">
        <v>5</v>
      </c>
      <c r="B11" s="4" t="s">
        <v>22</v>
      </c>
      <c r="C11" s="4" t="s">
        <v>5</v>
      </c>
      <c r="D11" s="4" t="s">
        <v>23</v>
      </c>
      <c r="E11" s="4" t="s">
        <v>7</v>
      </c>
      <c r="F11" s="4" t="s">
        <v>24</v>
      </c>
      <c r="G11" s="5" t="s">
        <v>25</v>
      </c>
    </row>
    <row r="12" ht="15" customHeight="1">
      <c r="A12" s="6">
        <v>6</v>
      </c>
      <c r="B12" s="6" t="s">
        <v>26</v>
      </c>
      <c r="C12" s="6" t="s">
        <v>7</v>
      </c>
      <c r="D12" s="6" t="s">
        <v>27</v>
      </c>
      <c r="E12" s="6" t="s">
        <v>7</v>
      </c>
      <c r="F12" s="6" t="s">
        <v>8</v>
      </c>
      <c r="G12" s="7" t="s">
        <v>28</v>
      </c>
    </row>
    <row r="13" ht="15" customHeight="1">
      <c r="A13" s="4">
        <v>7</v>
      </c>
      <c r="B13" s="4" t="s">
        <v>29</v>
      </c>
      <c r="C13" s="4" t="s">
        <v>7</v>
      </c>
      <c r="D13" s="4" t="s">
        <v>30</v>
      </c>
      <c r="E13" s="4" t="s">
        <v>5</v>
      </c>
      <c r="F13" s="4" t="s">
        <v>12</v>
      </c>
      <c r="G13" s="5" t="s">
        <v>31</v>
      </c>
    </row>
    <row r="14" ht="15" customHeight="1">
      <c r="A14" s="6">
        <v>8</v>
      </c>
      <c r="B14" s="6" t="s">
        <v>32</v>
      </c>
      <c r="C14" s="6" t="s">
        <v>16</v>
      </c>
      <c r="D14" s="6" t="s">
        <v>33</v>
      </c>
      <c r="E14" s="6" t="s">
        <v>16</v>
      </c>
      <c r="F14" s="6" t="s">
        <v>17</v>
      </c>
      <c r="G14" s="7" t="s">
        <v>34</v>
      </c>
    </row>
    <row r="15" ht="15" customHeight="1">
      <c r="A15" s="4">
        <v>9</v>
      </c>
      <c r="B15" s="4" t="s">
        <v>35</v>
      </c>
      <c r="C15" s="4" t="s">
        <v>7</v>
      </c>
      <c r="D15" s="4" t="s">
        <v>36</v>
      </c>
      <c r="E15" s="4" t="s">
        <v>7</v>
      </c>
      <c r="F15" s="4" t="s">
        <v>37</v>
      </c>
      <c r="G15" s="5" t="s">
        <v>38</v>
      </c>
    </row>
    <row r="16" ht="15" customHeight="1">
      <c r="A16" s="6">
        <v>10</v>
      </c>
      <c r="B16" s="6" t="s">
        <v>39</v>
      </c>
      <c r="C16" s="6" t="s">
        <v>7</v>
      </c>
      <c r="D16" s="6" t="s">
        <v>40</v>
      </c>
      <c r="E16" s="6" t="s">
        <v>16</v>
      </c>
      <c r="F16" s="6" t="s">
        <v>17</v>
      </c>
      <c r="G16" s="7" t="s">
        <v>41</v>
      </c>
    </row>
    <row r="17" ht="15" customHeight="1">
      <c r="A17" s="4">
        <v>11</v>
      </c>
      <c r="B17" s="4" t="s">
        <v>42</v>
      </c>
      <c r="C17" s="4" t="s">
        <v>7</v>
      </c>
      <c r="D17" s="4" t="s">
        <v>43</v>
      </c>
      <c r="E17" s="4" t="s">
        <v>16</v>
      </c>
      <c r="F17" s="4" t="s">
        <v>44</v>
      </c>
      <c r="G17" s="5" t="s">
        <v>45</v>
      </c>
    </row>
    <row r="18" ht="15" customHeight="1">
      <c r="A18" s="6">
        <v>12</v>
      </c>
      <c r="B18" s="6" t="s">
        <v>46</v>
      </c>
      <c r="C18" s="6" t="s">
        <v>5</v>
      </c>
      <c r="D18" s="6" t="s">
        <v>15</v>
      </c>
      <c r="E18" s="6" t="s">
        <v>7</v>
      </c>
      <c r="F18" s="6" t="s">
        <v>8</v>
      </c>
      <c r="G18" s="7" t="s">
        <v>47</v>
      </c>
    </row>
  </sheetData>
  <mergeCells>
    <mergeCell ref="A1:G1"/>
    <mergeCell ref="A2:G2"/>
    <mergeCell ref="A4:G4"/>
    <mergeCell ref="A5:G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FDE769-F9C8-95CA-CFB3-F6612F7FA9D8}" mc:Ignorable="x14ac xr xr2 xr3">
  <dimension ref="A1:GR1000"/>
  <sheetViews>
    <sheetView topLeftCell="A1" workbookViewId="0">
      <pane ySplit="1" topLeftCell="A3" activePane="bottomLeft" state="frozen"/>
      <selection pane="bottomLeft" activeCell="A1" sqref="A1:G1"/>
    </sheetView>
  </sheetViews>
  <sheetFormatPr defaultRowHeight="15" defaultColWidth="8.8515625" customHeight="1"/>
  <cols>
    <col min="1" max="1" width="26.8515625" customWidth="1"/>
    <col min="2" max="2" width="42.8515625" customWidth="1"/>
    <col min="3" max="3" width="28.57421875" customWidth="1"/>
    <col min="4" max="4" width="34.57421875" customWidth="1"/>
    <col min="5" max="5" width="18.7109375" customWidth="1"/>
    <col min="6" max="6" width="17.00390625" customWidth="1"/>
    <col min="7" max="7" width="13.28125" customWidth="1"/>
  </cols>
  <sheetData>
    <row r="1" ht="18" customHeight="1">
      <c r="A1" s="8" t="s">
        <v>48</v>
      </c>
    </row>
    <row r="3" ht="15.75" customHeight="1">
      <c r="A3" s="3" t="s">
        <v>49</v>
      </c>
    </row>
    <row r="4" ht="15" customHeight="1">
      <c r="A4" s="9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56</v>
      </c>
    </row>
    <row r="5" ht="15" customHeight="1">
      <c r="A5" s="10" t="s">
        <v>57</v>
      </c>
      <c r="B5" s="10" t="s">
        <v>58</v>
      </c>
      <c r="C5" s="10" t="s">
        <v>59</v>
      </c>
      <c r="D5" s="10" t="s">
        <v>60</v>
      </c>
      <c r="E5" s="10" t="s">
        <v>61</v>
      </c>
      <c r="F5" s="10" t="s">
        <v>62</v>
      </c>
      <c r="G5" s="10" t="s">
        <v>63</v>
      </c>
    </row>
    <row r="6" ht="15" customHeight="1">
      <c r="A6" s="11" t="s">
        <v>64</v>
      </c>
      <c r="B6" s="11" t="s">
        <v>65</v>
      </c>
      <c r="C6" s="11" t="s">
        <v>66</v>
      </c>
      <c r="D6" s="11" t="s">
        <v>67</v>
      </c>
      <c r="E6" s="11" t="s">
        <v>68</v>
      </c>
      <c r="F6" s="11" t="s">
        <v>62</v>
      </c>
      <c r="G6" s="11" t="s">
        <v>69</v>
      </c>
    </row>
    <row r="7" ht="15" customHeight="1">
      <c r="A7" s="10" t="s">
        <v>70</v>
      </c>
      <c r="B7" s="10" t="s">
        <v>71</v>
      </c>
      <c r="C7" s="10" t="s">
        <v>72</v>
      </c>
      <c r="D7" s="10" t="s">
        <v>73</v>
      </c>
      <c r="E7" s="10" t="s">
        <v>63</v>
      </c>
      <c r="F7" s="10" t="s">
        <v>74</v>
      </c>
      <c r="G7" s="10" t="s">
        <v>75</v>
      </c>
    </row>
    <row r="8" ht="15" customHeight="1">
      <c r="A8" s="11" t="s">
        <v>76</v>
      </c>
      <c r="B8" s="11" t="s">
        <v>77</v>
      </c>
      <c r="C8" s="11" t="s">
        <v>72</v>
      </c>
      <c r="D8" s="11" t="s">
        <v>73</v>
      </c>
      <c r="E8" s="11" t="s">
        <v>78</v>
      </c>
      <c r="F8" s="11" t="s">
        <v>74</v>
      </c>
      <c r="G8" s="11" t="s">
        <v>75</v>
      </c>
    </row>
    <row r="9" ht="15" customHeight="1">
      <c r="A9" s="10" t="s">
        <v>79</v>
      </c>
      <c r="B9" s="10" t="s">
        <v>80</v>
      </c>
      <c r="C9" s="10" t="s">
        <v>81</v>
      </c>
      <c r="D9" s="10" t="s">
        <v>82</v>
      </c>
      <c r="E9" s="10" t="s">
        <v>63</v>
      </c>
      <c r="F9" s="10" t="s">
        <v>83</v>
      </c>
      <c r="G9" s="10" t="s">
        <v>75</v>
      </c>
    </row>
    <row r="10" ht="15" customHeight="1">
      <c r="A10" s="11" t="s">
        <v>84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74</v>
      </c>
      <c r="G10" s="11" t="s">
        <v>75</v>
      </c>
    </row>
    <row r="12" ht="15" customHeight="1">
      <c r="A12" s="3" t="s">
        <v>89</v>
      </c>
    </row>
    <row r="13" ht="15" customHeight="1">
      <c r="A13" s="9" t="s">
        <v>90</v>
      </c>
      <c r="B13" s="9" t="s">
        <v>91</v>
      </c>
      <c r="C13" s="9" t="s">
        <v>92</v>
      </c>
    </row>
    <row r="14" ht="15" customHeight="1">
      <c r="A14" s="10" t="s">
        <v>93</v>
      </c>
      <c r="B14" s="10" t="s">
        <v>94</v>
      </c>
      <c r="C14" s="10" t="s">
        <v>95</v>
      </c>
    </row>
    <row r="15" ht="15" customHeight="1">
      <c r="A15" s="11" t="s">
        <v>96</v>
      </c>
      <c r="B15" s="11" t="s">
        <v>97</v>
      </c>
      <c r="C15" s="11" t="s">
        <v>98</v>
      </c>
    </row>
    <row r="16" ht="15" customHeight="1">
      <c r="A16" s="10" t="s">
        <v>99</v>
      </c>
      <c r="B16" s="10" t="s">
        <v>100</v>
      </c>
      <c r="C16" s="10" t="s">
        <v>101</v>
      </c>
    </row>
    <row r="17" ht="15" customHeight="1">
      <c r="A17" s="11" t="s">
        <v>102</v>
      </c>
      <c r="B17" s="11" t="s">
        <v>103</v>
      </c>
      <c r="C17" s="11" t="s">
        <v>104</v>
      </c>
    </row>
    <row r="18" ht="15" customHeight="1">
      <c r="A18" s="10" t="s">
        <v>105</v>
      </c>
      <c r="B18" s="10" t="s">
        <v>106</v>
      </c>
      <c r="C18" s="10" t="s">
        <v>107</v>
      </c>
    </row>
    <row r="20" ht="15" customHeight="1">
      <c r="A20" s="3" t="s">
        <v>108</v>
      </c>
    </row>
    <row r="21" ht="15" customHeight="1">
      <c r="A21" s="9" t="s">
        <v>109</v>
      </c>
      <c r="B21" s="9" t="s">
        <v>92</v>
      </c>
      <c r="C21" s="9" t="s">
        <v>110</v>
      </c>
      <c r="D21" s="9" t="s">
        <v>111</v>
      </c>
    </row>
    <row r="22" ht="15" customHeight="1">
      <c r="A22" s="10" t="s">
        <v>112</v>
      </c>
      <c r="B22" s="10" t="s">
        <v>113</v>
      </c>
      <c r="C22" s="10" t="s">
        <v>114</v>
      </c>
      <c r="D22" s="10" t="s">
        <v>83</v>
      </c>
    </row>
    <row r="23" ht="15" customHeight="1">
      <c r="A23" s="11" t="s">
        <v>115</v>
      </c>
      <c r="B23" s="11" t="s">
        <v>116</v>
      </c>
      <c r="C23" s="11" t="s">
        <v>117</v>
      </c>
      <c r="D23" s="11" t="s">
        <v>62</v>
      </c>
    </row>
    <row r="24" ht="15" customHeight="1">
      <c r="A24" s="10" t="s">
        <v>118</v>
      </c>
      <c r="B24" s="10" t="s">
        <v>119</v>
      </c>
      <c r="C24" s="10" t="s">
        <v>120</v>
      </c>
      <c r="D24" s="10" t="s">
        <v>74</v>
      </c>
    </row>
    <row r="25" ht="15" customHeight="1">
      <c r="A25" s="11" t="s">
        <v>121</v>
      </c>
      <c r="B25" s="11" t="s">
        <v>122</v>
      </c>
      <c r="C25" s="11" t="s">
        <v>123</v>
      </c>
      <c r="D25" s="11" t="s">
        <v>74</v>
      </c>
    </row>
    <row r="26" ht="15" customHeight="1">
      <c r="A26" s="10" t="s">
        <v>124</v>
      </c>
      <c r="B26" s="10" t="s">
        <v>125</v>
      </c>
      <c r="C26" s="10" t="s">
        <v>126</v>
      </c>
      <c r="D26" s="10" t="s">
        <v>83</v>
      </c>
    </row>
    <row r="27" ht="15" customHeight="1">
      <c r="A27" s="11" t="s">
        <v>127</v>
      </c>
      <c r="B27" s="11" t="s">
        <v>128</v>
      </c>
      <c r="C27" s="11" t="s">
        <v>129</v>
      </c>
      <c r="D27" s="11" t="s">
        <v>83</v>
      </c>
    </row>
    <row r="28" ht="15" customHeight="1">
      <c r="A28" s="10" t="s">
        <v>130</v>
      </c>
      <c r="B28" s="10" t="s">
        <v>131</v>
      </c>
      <c r="C28" s="10" t="s">
        <v>123</v>
      </c>
      <c r="D28" s="10" t="s">
        <v>74</v>
      </c>
    </row>
    <row r="29" ht="15" customHeight="1">
      <c r="A29" s="11" t="s">
        <v>132</v>
      </c>
      <c r="B29" s="11" t="s">
        <v>133</v>
      </c>
      <c r="C29" s="11" t="s">
        <v>123</v>
      </c>
      <c r="D29" s="11" t="s">
        <v>74</v>
      </c>
    </row>
    <row r="31" ht="15" customHeight="1">
      <c r="A31" s="3" t="s">
        <v>134</v>
      </c>
    </row>
    <row r="32" ht="15" customHeight="1">
      <c r="A32" s="9" t="s">
        <v>135</v>
      </c>
      <c r="B32" s="9" t="s">
        <v>136</v>
      </c>
      <c r="C32" s="9" t="s">
        <v>137</v>
      </c>
      <c r="D32" s="9" t="s">
        <v>138</v>
      </c>
    </row>
    <row r="33" ht="15" customHeight="1">
      <c r="A33" s="10" t="s">
        <v>57</v>
      </c>
      <c r="B33" s="10" t="s">
        <v>43</v>
      </c>
      <c r="C33" s="10" t="s">
        <v>139</v>
      </c>
      <c r="D33" s="10" t="s">
        <v>140</v>
      </c>
    </row>
    <row r="34" ht="15" customHeight="1">
      <c r="A34" s="11" t="s">
        <v>141</v>
      </c>
      <c r="B34" s="11" t="s">
        <v>43</v>
      </c>
      <c r="C34" s="11" t="s">
        <v>142</v>
      </c>
      <c r="D34" s="11" t="s">
        <v>143</v>
      </c>
    </row>
    <row r="35" ht="15" customHeight="1">
      <c r="A35" s="10" t="s">
        <v>144</v>
      </c>
      <c r="B35" s="10" t="s">
        <v>43</v>
      </c>
      <c r="C35" s="10" t="s">
        <v>145</v>
      </c>
      <c r="D35" s="10" t="s">
        <v>146</v>
      </c>
    </row>
    <row r="36" ht="15" customHeight="1">
      <c r="A36" s="11" t="s">
        <v>147</v>
      </c>
      <c r="B36" s="11" t="s">
        <v>43</v>
      </c>
      <c r="C36" s="11" t="s">
        <v>148</v>
      </c>
      <c r="D36" s="11" t="s">
        <v>149</v>
      </c>
    </row>
    <row r="37" ht="15" customHeight="1">
      <c r="A37" s="10" t="s">
        <v>150</v>
      </c>
      <c r="B37" s="10" t="s">
        <v>43</v>
      </c>
      <c r="C37" s="10" t="s">
        <v>151</v>
      </c>
      <c r="D37" s="10" t="s">
        <v>152</v>
      </c>
    </row>
    <row r="39" ht="15" customHeight="1">
      <c r="A39" s="3" t="s">
        <v>153</v>
      </c>
    </row>
    <row r="40" ht="15" customHeight="1">
      <c r="A40" s="9" t="s">
        <v>154</v>
      </c>
      <c r="B40" s="9" t="s">
        <v>155</v>
      </c>
      <c r="C40" s="9" t="s">
        <v>156</v>
      </c>
    </row>
    <row r="41" ht="15" customHeight="1">
      <c r="A41" s="10">
        <v>1</v>
      </c>
      <c r="B41" s="10" t="s">
        <v>157</v>
      </c>
      <c r="C41" s="10" t="s">
        <v>158</v>
      </c>
    </row>
    <row r="42" ht="15" customHeight="1">
      <c r="A42" s="11">
        <v>2</v>
      </c>
      <c r="B42" s="11" t="s">
        <v>159</v>
      </c>
      <c r="C42" s="11" t="s">
        <v>160</v>
      </c>
    </row>
    <row r="43" ht="15" customHeight="1">
      <c r="A43" s="10">
        <v>3</v>
      </c>
      <c r="B43" s="10" t="s">
        <v>161</v>
      </c>
      <c r="C43" s="10" t="s">
        <v>162</v>
      </c>
    </row>
    <row r="44" ht="15" customHeight="1">
      <c r="A44" s="11">
        <v>4</v>
      </c>
      <c r="B44" s="11" t="s">
        <v>163</v>
      </c>
      <c r="C44" s="11" t="s">
        <v>164</v>
      </c>
    </row>
    <row r="45" ht="15" customHeight="1">
      <c r="A45" s="10">
        <v>5</v>
      </c>
      <c r="B45" s="10" t="s">
        <v>165</v>
      </c>
      <c r="C45" s="10" t="s">
        <v>166</v>
      </c>
    </row>
    <row r="46" ht="15" customHeight="1">
      <c r="A46" s="11">
        <v>6</v>
      </c>
      <c r="B46" s="11" t="s">
        <v>167</v>
      </c>
      <c r="C46" s="11" t="s">
        <v>168</v>
      </c>
    </row>
    <row r="47" ht="15" customHeight="1">
      <c r="A47" s="10">
        <v>7</v>
      </c>
      <c r="B47" s="10" t="s">
        <v>169</v>
      </c>
      <c r="C47" s="10" t="s">
        <v>170</v>
      </c>
    </row>
    <row r="48" ht="15" customHeight="1">
      <c r="A48" s="11">
        <v>8</v>
      </c>
      <c r="B48" s="11" t="s">
        <v>171</v>
      </c>
      <c r="C48" s="11" t="s">
        <v>172</v>
      </c>
    </row>
    <row r="49" ht="15" customHeight="1">
      <c r="A49" s="10">
        <v>9</v>
      </c>
      <c r="B49" s="10" t="s">
        <v>173</v>
      </c>
      <c r="C49" s="10" t="s">
        <v>174</v>
      </c>
    </row>
    <row r="51" ht="15" customHeight="1">
      <c r="A51" s="3" t="s">
        <v>175</v>
      </c>
    </row>
    <row r="53" ht="15" customHeight="1">
      <c r="A53" s="12" t="s">
        <v>176</v>
      </c>
    </row>
    <row r="54" ht="15" customHeight="1">
      <c r="A54" s="13" t="s">
        <v>177</v>
      </c>
      <c r="B54" s="14" t="s">
        <v>178</v>
      </c>
    </row>
    <row r="55" ht="15" customHeight="1">
      <c r="A55" s="13" t="s">
        <v>155</v>
      </c>
      <c r="B55" s="14" t="s">
        <v>179</v>
      </c>
    </row>
    <row r="56" ht="15" customHeight="1">
      <c r="A56" s="13" t="s">
        <v>180</v>
      </c>
      <c r="B56" s="14" t="s">
        <v>181</v>
      </c>
    </row>
    <row r="57" ht="15" customHeight="1">
      <c r="A57" s="13" t="s">
        <v>182</v>
      </c>
      <c r="B57" s="14" t="s">
        <v>183</v>
      </c>
    </row>
    <row r="58" ht="15" customHeight="1">
      <c r="A58" s="13" t="s">
        <v>184</v>
      </c>
      <c r="B58" s="14" t="s">
        <v>185</v>
      </c>
    </row>
    <row r="60" ht="15" customHeight="1">
      <c r="A60" s="12" t="s">
        <v>186</v>
      </c>
    </row>
    <row r="61" ht="15" customHeight="1">
      <c r="A61" s="13" t="s">
        <v>177</v>
      </c>
      <c r="B61" s="14" t="s">
        <v>187</v>
      </c>
    </row>
    <row r="62" ht="15" customHeight="1">
      <c r="A62" s="13" t="s">
        <v>155</v>
      </c>
      <c r="B62" s="14" t="s">
        <v>188</v>
      </c>
    </row>
    <row r="63" ht="15" customHeight="1">
      <c r="A63" s="13" t="s">
        <v>189</v>
      </c>
      <c r="B63" s="14" t="s">
        <v>190</v>
      </c>
    </row>
    <row r="64" ht="15" customHeight="1">
      <c r="A64" s="13" t="s">
        <v>191</v>
      </c>
      <c r="B64" s="14" t="s">
        <v>192</v>
      </c>
    </row>
    <row r="65" ht="15" customHeight="1">
      <c r="A65" s="13" t="s">
        <v>193</v>
      </c>
      <c r="B65" s="14" t="s">
        <v>194</v>
      </c>
    </row>
    <row r="67" ht="15" customHeight="1">
      <c r="A67" s="12" t="s">
        <v>195</v>
      </c>
    </row>
    <row r="68" ht="15" customHeight="1">
      <c r="A68" s="13" t="s">
        <v>177</v>
      </c>
      <c r="B68" s="14" t="s">
        <v>196</v>
      </c>
    </row>
    <row r="69" ht="15" customHeight="1">
      <c r="A69" s="13" t="s">
        <v>155</v>
      </c>
      <c r="B69" s="14" t="s">
        <v>197</v>
      </c>
    </row>
    <row r="70" ht="15" customHeight="1">
      <c r="A70" s="13" t="s">
        <v>189</v>
      </c>
      <c r="B70" s="14" t="s">
        <v>198</v>
      </c>
    </row>
    <row r="71" ht="15" customHeight="1">
      <c r="A71" s="13" t="s">
        <v>199</v>
      </c>
      <c r="B71" s="14" t="s">
        <v>200</v>
      </c>
    </row>
    <row r="72" ht="15" customHeight="1">
      <c r="A72" s="13" t="s">
        <v>201</v>
      </c>
      <c r="B72" s="14" t="s">
        <v>202</v>
      </c>
    </row>
    <row r="74" ht="15" customHeight="1">
      <c r="A74" s="12" t="s">
        <v>203</v>
      </c>
    </row>
    <row r="75" ht="15" customHeight="1">
      <c r="A75" s="13" t="s">
        <v>177</v>
      </c>
      <c r="B75" s="14" t="s">
        <v>204</v>
      </c>
    </row>
    <row r="76" ht="15" customHeight="1">
      <c r="A76" s="13" t="s">
        <v>155</v>
      </c>
      <c r="B76" s="14" t="s">
        <v>205</v>
      </c>
    </row>
    <row r="77" ht="15" customHeight="1">
      <c r="A77" s="13" t="s">
        <v>189</v>
      </c>
      <c r="B77" s="14" t="s">
        <v>206</v>
      </c>
    </row>
    <row r="78" ht="15" customHeight="1">
      <c r="A78" s="13" t="s">
        <v>207</v>
      </c>
      <c r="B78" s="14" t="s">
        <v>208</v>
      </c>
    </row>
    <row r="79" ht="15" customHeight="1">
      <c r="A79" s="13" t="s">
        <v>209</v>
      </c>
      <c r="B79" s="14" t="s">
        <v>210</v>
      </c>
    </row>
    <row r="81" ht="15" customHeight="1">
      <c r="A81" s="12" t="s">
        <v>211</v>
      </c>
    </row>
    <row r="82" ht="15" customHeight="1">
      <c r="A82" s="13" t="s">
        <v>177</v>
      </c>
      <c r="B82" s="14" t="s">
        <v>212</v>
      </c>
    </row>
    <row r="83" ht="15" customHeight="1">
      <c r="A83" s="13" t="s">
        <v>155</v>
      </c>
      <c r="B83" s="14" t="s">
        <v>213</v>
      </c>
    </row>
    <row r="84" ht="15" customHeight="1">
      <c r="A84" s="13" t="s">
        <v>189</v>
      </c>
      <c r="B84" s="14" t="s">
        <v>214</v>
      </c>
    </row>
    <row r="85" ht="15" customHeight="1">
      <c r="A85" s="13" t="s">
        <v>215</v>
      </c>
      <c r="B85" s="14" t="s">
        <v>216</v>
      </c>
    </row>
    <row r="86" ht="15" customHeight="1">
      <c r="A86" s="13" t="s">
        <v>217</v>
      </c>
      <c r="B86" s="14" t="s">
        <v>218</v>
      </c>
    </row>
  </sheetData>
  <mergeCells>
    <mergeCell ref="A1:G1"/>
    <mergeCell ref="A3:G3"/>
    <mergeCell ref="A12:G12"/>
    <mergeCell ref="A20:G20"/>
    <mergeCell ref="A31:G31"/>
    <mergeCell ref="A39:G39"/>
    <mergeCell ref="A51:G51"/>
    <mergeCell ref="A53:G53"/>
    <mergeCell ref="A60:G60"/>
    <mergeCell ref="A67:G67"/>
    <mergeCell ref="A74:G74"/>
    <mergeCell ref="A81:G8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4E5678-1088-57DA-4828-37D5C372AA0D}" mc:Ignorable="x14ac xr xr2 xr3">
  <dimension ref="A1:GR1000"/>
  <sheetViews>
    <sheetView topLeftCell="C1" workbookViewId="0">
      <pane ySplit="1" topLeftCell="A2" activePane="bottomLeft" state="frozen"/>
      <selection pane="bottomLeft" activeCell="A1" sqref="A1:F1"/>
    </sheetView>
  </sheetViews>
  <sheetFormatPr defaultRowHeight="15" defaultColWidth="8.8515625" customHeight="1"/>
  <cols>
    <col min="1" max="1" width="24.57421875" customWidth="1"/>
    <col min="2" max="2" width="40.00390625" customWidth="1"/>
    <col min="3" max="3" width="31.421875" customWidth="1"/>
    <col min="4" max="4" width="39.8515625" customWidth="1"/>
    <col min="5" max="5" width="16.140625" customWidth="1"/>
  </cols>
  <sheetData>
    <row r="1" ht="18" customHeight="1">
      <c r="A1" s="8" t="s">
        <v>219</v>
      </c>
    </row>
    <row r="3" ht="15" customHeight="1">
      <c r="A3" s="3" t="s">
        <v>220</v>
      </c>
    </row>
    <row r="4" ht="15" customHeight="1">
      <c r="A4" s="9" t="s">
        <v>221</v>
      </c>
      <c r="B4" s="9" t="s">
        <v>222</v>
      </c>
      <c r="C4" s="9" t="s">
        <v>223</v>
      </c>
      <c r="D4" s="9" t="s">
        <v>224</v>
      </c>
      <c r="E4" s="9" t="s">
        <v>225</v>
      </c>
    </row>
    <row r="5" ht="15" customHeight="1">
      <c r="A5" s="10" t="s">
        <v>226</v>
      </c>
      <c r="B5" s="10" t="s">
        <v>227</v>
      </c>
      <c r="C5" s="10" t="s">
        <v>228</v>
      </c>
      <c r="D5" s="10" t="s">
        <v>229</v>
      </c>
      <c r="E5" s="10" t="s">
        <v>230</v>
      </c>
    </row>
    <row r="6" ht="15" customHeight="1">
      <c r="A6" s="11" t="s">
        <v>231</v>
      </c>
      <c r="B6" s="11" t="s">
        <v>232</v>
      </c>
      <c r="C6" s="11" t="s">
        <v>233</v>
      </c>
      <c r="D6" s="11" t="s">
        <v>234</v>
      </c>
      <c r="E6" s="11" t="s">
        <v>235</v>
      </c>
    </row>
    <row r="7" ht="15" customHeight="1">
      <c r="A7" s="10" t="s">
        <v>236</v>
      </c>
      <c r="B7" s="10" t="s">
        <v>237</v>
      </c>
      <c r="C7" s="10" t="s">
        <v>238</v>
      </c>
      <c r="D7" s="10" t="s">
        <v>239</v>
      </c>
      <c r="E7" s="10" t="s">
        <v>240</v>
      </c>
    </row>
    <row r="8" ht="15" customHeight="1">
      <c r="A8" s="11" t="s">
        <v>241</v>
      </c>
      <c r="B8" s="11" t="s">
        <v>227</v>
      </c>
      <c r="C8" s="11" t="s">
        <v>242</v>
      </c>
      <c r="D8" s="11" t="s">
        <v>243</v>
      </c>
      <c r="E8" s="11" t="s">
        <v>244</v>
      </c>
    </row>
    <row r="9" ht="15" customHeight="1">
      <c r="A9" s="10" t="s">
        <v>245</v>
      </c>
      <c r="B9" s="10" t="s">
        <v>246</v>
      </c>
      <c r="C9" s="10" t="s">
        <v>247</v>
      </c>
      <c r="D9" s="10" t="s">
        <v>248</v>
      </c>
      <c r="E9" s="10" t="s">
        <v>249</v>
      </c>
    </row>
    <row r="10" ht="15" customHeight="1">
      <c r="A10" s="11" t="s">
        <v>250</v>
      </c>
      <c r="B10" s="11" t="s">
        <v>251</v>
      </c>
      <c r="C10" s="11" t="s">
        <v>252</v>
      </c>
      <c r="D10" s="11" t="s">
        <v>253</v>
      </c>
      <c r="E10" s="11" t="s">
        <v>254</v>
      </c>
    </row>
    <row r="11" ht="15" customHeight="1">
      <c r="A11" s="10" t="s">
        <v>255</v>
      </c>
      <c r="B11" s="10" t="s">
        <v>256</v>
      </c>
      <c r="C11" s="10" t="s">
        <v>257</v>
      </c>
      <c r="D11" s="10" t="s">
        <v>258</v>
      </c>
      <c r="E11" s="10" t="s">
        <v>259</v>
      </c>
    </row>
    <row r="12" ht="15" customHeight="1">
      <c r="A12" s="11" t="s">
        <v>260</v>
      </c>
      <c r="B12" s="11" t="s">
        <v>261</v>
      </c>
      <c r="C12" s="11" t="s">
        <v>262</v>
      </c>
      <c r="D12" s="11" t="s">
        <v>263</v>
      </c>
      <c r="E12" s="11" t="s">
        <v>264</v>
      </c>
    </row>
    <row r="13" ht="15" customHeight="1">
      <c r="A13" s="10" t="s">
        <v>265</v>
      </c>
      <c r="B13" s="10" t="s">
        <v>266</v>
      </c>
      <c r="C13" s="10" t="s">
        <v>267</v>
      </c>
      <c r="D13" s="10" t="s">
        <v>268</v>
      </c>
      <c r="E13" s="10" t="s">
        <v>269</v>
      </c>
    </row>
    <row r="14" ht="15" customHeight="1">
      <c r="A14" s="11" t="s">
        <v>270</v>
      </c>
      <c r="B14" s="11" t="s">
        <v>227</v>
      </c>
      <c r="C14" s="11" t="s">
        <v>271</v>
      </c>
      <c r="D14" s="11" t="s">
        <v>272</v>
      </c>
      <c r="E14" s="11" t="s">
        <v>273</v>
      </c>
    </row>
    <row r="16" ht="15" customHeight="1">
      <c r="A16" s="3" t="s">
        <v>274</v>
      </c>
    </row>
    <row r="17" ht="15" customHeight="1">
      <c r="A17" s="9" t="s">
        <v>275</v>
      </c>
      <c r="B17" s="9" t="s">
        <v>276</v>
      </c>
      <c r="C17" s="9" t="s">
        <v>277</v>
      </c>
      <c r="D17" s="9" t="s">
        <v>278</v>
      </c>
    </row>
    <row r="18" ht="15" customHeight="1">
      <c r="A18" s="10" t="s">
        <v>279</v>
      </c>
      <c r="B18" s="10" t="s">
        <v>280</v>
      </c>
      <c r="C18" s="10" t="s">
        <v>281</v>
      </c>
      <c r="D18" s="10" t="s">
        <v>282</v>
      </c>
    </row>
    <row r="19" ht="15" customHeight="1">
      <c r="A19" s="11" t="s">
        <v>283</v>
      </c>
      <c r="B19" s="11" t="s">
        <v>284</v>
      </c>
      <c r="C19" s="11" t="s">
        <v>285</v>
      </c>
      <c r="D19" s="11" t="s">
        <v>286</v>
      </c>
    </row>
    <row r="20" ht="15" customHeight="1">
      <c r="A20" s="10" t="s">
        <v>287</v>
      </c>
      <c r="B20" s="10" t="s">
        <v>288</v>
      </c>
      <c r="C20" s="10" t="s">
        <v>289</v>
      </c>
      <c r="D20" s="10" t="s">
        <v>290</v>
      </c>
    </row>
    <row r="21" ht="15" customHeight="1">
      <c r="A21" s="11" t="s">
        <v>291</v>
      </c>
      <c r="B21" s="11" t="s">
        <v>292</v>
      </c>
      <c r="C21" s="11" t="s">
        <v>293</v>
      </c>
      <c r="D21" s="11" t="s">
        <v>294</v>
      </c>
    </row>
    <row r="23" ht="15" customHeight="1">
      <c r="A23" s="12" t="s">
        <v>295</v>
      </c>
    </row>
    <row r="24" ht="15" customHeight="1">
      <c r="A24" s="9" t="s">
        <v>296</v>
      </c>
      <c r="B24" s="9" t="s">
        <v>297</v>
      </c>
      <c r="C24" s="9" t="s">
        <v>298</v>
      </c>
      <c r="D24" s="9" t="s">
        <v>299</v>
      </c>
    </row>
    <row r="25" ht="15" customHeight="1">
      <c r="A25" s="10" t="s">
        <v>300</v>
      </c>
      <c r="B25" s="10" t="s">
        <v>301</v>
      </c>
      <c r="C25" s="10" t="s">
        <v>302</v>
      </c>
      <c r="D25" s="10" t="s">
        <v>303</v>
      </c>
    </row>
    <row r="26" ht="15" customHeight="1">
      <c r="A26" s="11" t="s">
        <v>304</v>
      </c>
      <c r="B26" s="11" t="s">
        <v>305</v>
      </c>
      <c r="C26" s="11" t="s">
        <v>306</v>
      </c>
      <c r="D26" s="11" t="s">
        <v>307</v>
      </c>
    </row>
    <row r="27" ht="15" customHeight="1">
      <c r="A27" s="10" t="s">
        <v>308</v>
      </c>
      <c r="B27" s="10" t="s">
        <v>309</v>
      </c>
      <c r="C27" s="10" t="s">
        <v>310</v>
      </c>
      <c r="D27" s="10" t="s">
        <v>311</v>
      </c>
    </row>
    <row r="29" ht="15" customHeight="1">
      <c r="A29" s="3" t="s">
        <v>312</v>
      </c>
    </row>
    <row r="30" ht="15" customHeight="1">
      <c r="A30" s="9" t="s">
        <v>313</v>
      </c>
      <c r="B30" s="9" t="s">
        <v>314</v>
      </c>
      <c r="C30" s="9" t="s">
        <v>315</v>
      </c>
    </row>
    <row r="31" ht="15" customHeight="1">
      <c r="A31" s="10" t="s">
        <v>316</v>
      </c>
      <c r="B31" s="10" t="s">
        <v>317</v>
      </c>
      <c r="C31" s="10" t="s">
        <v>318</v>
      </c>
    </row>
    <row r="32" ht="15" customHeight="1">
      <c r="A32" s="11" t="s">
        <v>319</v>
      </c>
      <c r="B32" s="11" t="s">
        <v>320</v>
      </c>
      <c r="C32" s="11" t="s">
        <v>321</v>
      </c>
    </row>
    <row r="33" ht="15" customHeight="1">
      <c r="A33" s="10" t="s">
        <v>322</v>
      </c>
      <c r="B33" s="10" t="s">
        <v>323</v>
      </c>
      <c r="C33" s="10" t="s">
        <v>324</v>
      </c>
    </row>
    <row r="34" ht="15" customHeight="1">
      <c r="A34" s="11" t="s">
        <v>325</v>
      </c>
      <c r="B34" s="11" t="s">
        <v>326</v>
      </c>
      <c r="C34" s="11" t="s">
        <v>327</v>
      </c>
    </row>
    <row r="35" ht="15" customHeight="1">
      <c r="A35" s="10" t="s">
        <v>328</v>
      </c>
      <c r="B35" s="10" t="s">
        <v>329</v>
      </c>
      <c r="C35" s="10" t="s">
        <v>330</v>
      </c>
    </row>
    <row r="37" ht="15" customHeight="1">
      <c r="A37" s="15" t="s">
        <v>331</v>
      </c>
    </row>
    <row r="38" ht="15" customHeight="1">
      <c r="A38" s="16" t="s">
        <v>332</v>
      </c>
    </row>
    <row r="40" ht="15" customHeight="1">
      <c r="A40" s="3" t="s">
        <v>333</v>
      </c>
    </row>
    <row r="42" ht="15" customHeight="1">
      <c r="A42" s="12" t="s">
        <v>334</v>
      </c>
    </row>
    <row r="43" ht="15" customHeight="1">
      <c r="A43" s="13" t="s">
        <v>335</v>
      </c>
      <c r="B43" s="14" t="s">
        <v>336</v>
      </c>
    </row>
    <row r="44" ht="15" customHeight="1">
      <c r="A44" s="13" t="s">
        <v>337</v>
      </c>
      <c r="B44" s="14" t="s">
        <v>338</v>
      </c>
    </row>
    <row r="45" ht="15" customHeight="1">
      <c r="A45" s="13" t="s">
        <v>339</v>
      </c>
      <c r="B45" s="14" t="s">
        <v>340</v>
      </c>
    </row>
    <row r="46" ht="15" customHeight="1">
      <c r="A46" s="13" t="s">
        <v>341</v>
      </c>
      <c r="B46" s="14" t="s">
        <v>342</v>
      </c>
    </row>
    <row r="48" ht="15" customHeight="1">
      <c r="A48" s="12" t="s">
        <v>343</v>
      </c>
    </row>
    <row r="49" ht="15" customHeight="1">
      <c r="A49" s="13" t="s">
        <v>335</v>
      </c>
      <c r="B49" s="14" t="s">
        <v>344</v>
      </c>
    </row>
    <row r="50" ht="15" customHeight="1">
      <c r="A50" s="13" t="s">
        <v>337</v>
      </c>
      <c r="B50" s="14" t="s">
        <v>345</v>
      </c>
    </row>
    <row r="51" ht="15" customHeight="1">
      <c r="A51" s="13" t="s">
        <v>339</v>
      </c>
      <c r="B51" s="14" t="s">
        <v>346</v>
      </c>
    </row>
    <row r="52" ht="15" customHeight="1">
      <c r="A52" s="13" t="s">
        <v>341</v>
      </c>
      <c r="B52" s="14" t="s">
        <v>347</v>
      </c>
    </row>
    <row r="54" ht="15" customHeight="1">
      <c r="A54" s="12" t="s">
        <v>348</v>
      </c>
    </row>
    <row r="55" ht="15" customHeight="1">
      <c r="A55" s="13" t="s">
        <v>335</v>
      </c>
      <c r="B55" s="14" t="s">
        <v>349</v>
      </c>
    </row>
    <row r="56" ht="15" customHeight="1">
      <c r="A56" s="13" t="s">
        <v>337</v>
      </c>
      <c r="B56" s="14" t="s">
        <v>350</v>
      </c>
    </row>
    <row r="57" ht="15" customHeight="1">
      <c r="A57" s="13" t="s">
        <v>339</v>
      </c>
      <c r="B57" s="14" t="s">
        <v>351</v>
      </c>
    </row>
    <row r="58" ht="15" customHeight="1">
      <c r="A58" s="13" t="s">
        <v>341</v>
      </c>
      <c r="B58" s="14" t="s">
        <v>352</v>
      </c>
    </row>
    <row r="61" ht="15" customHeight="1">
      <c r="A61" s="3" t="s">
        <v>353</v>
      </c>
    </row>
    <row r="62" ht="15" customHeight="1">
      <c r="A62" s="15" t="s">
        <v>354</v>
      </c>
    </row>
    <row r="64" ht="15" customHeight="1">
      <c r="A64" s="9" t="s">
        <v>154</v>
      </c>
      <c r="B64" s="9" t="s">
        <v>155</v>
      </c>
    </row>
    <row r="65" ht="15" customHeight="1">
      <c r="A65" s="10">
        <v>1</v>
      </c>
      <c r="B65" s="10" t="s">
        <v>355</v>
      </c>
    </row>
    <row r="66" ht="15" customHeight="1">
      <c r="A66" s="11">
        <v>2</v>
      </c>
      <c r="B66" s="11" t="s">
        <v>356</v>
      </c>
    </row>
    <row r="67" ht="15" customHeight="1">
      <c r="A67" s="10">
        <v>3</v>
      </c>
      <c r="B67" s="10" t="s">
        <v>357</v>
      </c>
    </row>
    <row r="68" ht="15" customHeight="1">
      <c r="A68" s="11">
        <v>4</v>
      </c>
      <c r="B68" s="11" t="s">
        <v>358</v>
      </c>
    </row>
    <row r="69" ht="15" customHeight="1">
      <c r="A69" s="10">
        <v>5</v>
      </c>
      <c r="B69" s="10" t="s">
        <v>359</v>
      </c>
    </row>
    <row r="70" ht="15" customHeight="1">
      <c r="A70" s="11">
        <v>6</v>
      </c>
      <c r="B70" s="11" t="s">
        <v>360</v>
      </c>
    </row>
    <row r="71" ht="15" customHeight="1">
      <c r="A71" s="10">
        <v>7</v>
      </c>
      <c r="B71" s="10" t="s">
        <v>361</v>
      </c>
    </row>
    <row r="72" ht="15" customHeight="1">
      <c r="A72" s="11">
        <v>8</v>
      </c>
      <c r="B72" s="11" t="s">
        <v>362</v>
      </c>
    </row>
    <row r="73" ht="15" customHeight="1">
      <c r="A73" s="10">
        <v>9</v>
      </c>
      <c r="B73" s="10" t="s">
        <v>363</v>
      </c>
    </row>
    <row r="74" ht="15" customHeight="1">
      <c r="A74" s="11">
        <v>10</v>
      </c>
      <c r="B74" s="11" t="s">
        <v>364</v>
      </c>
    </row>
    <row r="76" ht="15" customHeight="1">
      <c r="A76" s="3" t="s">
        <v>365</v>
      </c>
    </row>
    <row r="78" ht="15" customHeight="1">
      <c r="A78" s="12" t="s">
        <v>366</v>
      </c>
    </row>
    <row r="79" ht="15" customHeight="1">
      <c r="A79" s="13" t="s">
        <v>367</v>
      </c>
      <c r="B79" s="14" t="s">
        <v>368</v>
      </c>
    </row>
    <row r="80" ht="15" customHeight="1">
      <c r="A80" s="13" t="s">
        <v>369</v>
      </c>
      <c r="B80" s="14" t="s">
        <v>370</v>
      </c>
    </row>
    <row r="81" ht="15" customHeight="1">
      <c r="A81" s="13" t="s">
        <v>371</v>
      </c>
      <c r="B81" s="14" t="s">
        <v>372</v>
      </c>
    </row>
    <row r="82" ht="15" customHeight="1">
      <c r="A82" s="13" t="s">
        <v>373</v>
      </c>
      <c r="B82" s="14" t="s">
        <v>374</v>
      </c>
    </row>
    <row r="83" ht="15" customHeight="1">
      <c r="A83" s="13" t="s">
        <v>375</v>
      </c>
      <c r="B83" s="14" t="s">
        <v>376</v>
      </c>
    </row>
    <row r="84" ht="15" customHeight="1">
      <c r="A84" s="13" t="s">
        <v>377</v>
      </c>
      <c r="B84" s="14" t="s">
        <v>378</v>
      </c>
    </row>
    <row r="86" ht="15" customHeight="1">
      <c r="A86" s="12" t="s">
        <v>379</v>
      </c>
    </row>
    <row r="87" ht="15" customHeight="1">
      <c r="A87" s="13" t="s">
        <v>367</v>
      </c>
      <c r="B87" s="14" t="s">
        <v>380</v>
      </c>
    </row>
    <row r="88" ht="15" customHeight="1">
      <c r="A88" s="13" t="s">
        <v>369</v>
      </c>
      <c r="B88" s="14" t="s">
        <v>381</v>
      </c>
    </row>
    <row r="89" ht="15" customHeight="1">
      <c r="A89" s="13" t="s">
        <v>371</v>
      </c>
      <c r="B89" s="14" t="s">
        <v>382</v>
      </c>
    </row>
    <row r="90" ht="15" customHeight="1">
      <c r="A90" s="13" t="s">
        <v>375</v>
      </c>
      <c r="B90" s="14" t="s">
        <v>383</v>
      </c>
    </row>
    <row r="91" ht="15" customHeight="1">
      <c r="A91" s="13" t="s">
        <v>384</v>
      </c>
      <c r="B91" s="14" t="s">
        <v>385</v>
      </c>
    </row>
    <row r="92" ht="15" customHeight="1">
      <c r="A92" s="13" t="s">
        <v>386</v>
      </c>
      <c r="B92" s="14" t="s">
        <v>387</v>
      </c>
    </row>
    <row r="94" ht="15" customHeight="1">
      <c r="A94" s="12" t="s">
        <v>388</v>
      </c>
    </row>
    <row r="95" ht="15" customHeight="1">
      <c r="A95" s="13" t="s">
        <v>367</v>
      </c>
      <c r="B95" s="14" t="s">
        <v>389</v>
      </c>
    </row>
    <row r="96" ht="15" customHeight="1">
      <c r="A96" s="13" t="s">
        <v>369</v>
      </c>
      <c r="B96" s="14" t="s">
        <v>390</v>
      </c>
    </row>
    <row r="97" ht="15" customHeight="1">
      <c r="A97" s="13" t="s">
        <v>371</v>
      </c>
      <c r="B97" s="14" t="s">
        <v>391</v>
      </c>
    </row>
    <row r="98" ht="15" customHeight="1">
      <c r="A98" s="13" t="s">
        <v>375</v>
      </c>
      <c r="B98" s="14" t="s">
        <v>392</v>
      </c>
    </row>
    <row r="99" ht="15" customHeight="1">
      <c r="A99" s="13" t="s">
        <v>393</v>
      </c>
      <c r="B99" s="14" t="s">
        <v>394</v>
      </c>
    </row>
    <row r="100" ht="15" customHeight="1">
      <c r="A100" s="13" t="s">
        <v>395</v>
      </c>
      <c r="B100" s="14" t="s">
        <v>396</v>
      </c>
    </row>
  </sheetData>
  <mergeCells>
    <mergeCell ref="A1:F1"/>
    <mergeCell ref="A3:F3"/>
    <mergeCell ref="A16:F16"/>
    <mergeCell ref="A23:D23"/>
    <mergeCell ref="A29:F29"/>
    <mergeCell ref="A37:F37"/>
    <mergeCell ref="A38:F38"/>
    <mergeCell ref="A40:F40"/>
    <mergeCell ref="A42:F42"/>
    <mergeCell ref="A48:F48"/>
    <mergeCell ref="A54:F54"/>
    <mergeCell ref="A61:F61"/>
    <mergeCell ref="A62:F62"/>
    <mergeCell ref="A76:F76"/>
    <mergeCell ref="A78:F78"/>
    <mergeCell ref="A86:F86"/>
    <mergeCell ref="A94:F9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20DEC2-0638-0D88-B77B-D7B558AF83DC}" mc:Ignorable="x14ac xr xr2 xr3">
  <dimension ref="A1:GR1000"/>
  <sheetViews>
    <sheetView topLeftCell="A1" workbookViewId="0">
      <pane ySplit="1" topLeftCell="A24" activePane="bottomLeft" state="frozen"/>
      <selection pane="bottomLeft" activeCell="A1" sqref="A1:F1"/>
    </sheetView>
  </sheetViews>
  <sheetFormatPr defaultRowHeight="15" defaultColWidth="8.8515625" customHeight="1"/>
  <cols>
    <col min="1" max="1" width="28.8515625" customWidth="1"/>
    <col min="2" max="2" width="42.8515625" customWidth="1"/>
    <col min="3" max="3" width="42.00390625" customWidth="1"/>
    <col min="4" max="4" width="43.421875" customWidth="1"/>
    <col min="5" max="5" width="17.00390625" customWidth="1"/>
  </cols>
  <sheetData>
    <row r="1" ht="18" customHeight="1">
      <c r="A1" s="8" t="s">
        <v>397</v>
      </c>
    </row>
    <row r="3" ht="15" customHeight="1">
      <c r="A3" s="3" t="s">
        <v>398</v>
      </c>
    </row>
    <row r="4" ht="15" customHeight="1">
      <c r="A4" s="9" t="s">
        <v>110</v>
      </c>
      <c r="B4" s="9" t="s">
        <v>399</v>
      </c>
      <c r="C4" s="9" t="s">
        <v>53</v>
      </c>
      <c r="D4" s="9" t="s">
        <v>400</v>
      </c>
      <c r="E4" s="9" t="s">
        <v>55</v>
      </c>
    </row>
    <row r="5" ht="15" customHeight="1">
      <c r="A5" s="10" t="s">
        <v>401</v>
      </c>
      <c r="B5" s="10" t="s">
        <v>402</v>
      </c>
      <c r="C5" s="10" t="s">
        <v>403</v>
      </c>
      <c r="D5" s="10" t="s">
        <v>75</v>
      </c>
      <c r="E5" s="10" t="s">
        <v>404</v>
      </c>
    </row>
    <row r="6" ht="15" customHeight="1">
      <c r="A6" s="11" t="s">
        <v>405</v>
      </c>
      <c r="B6" s="11" t="s">
        <v>406</v>
      </c>
      <c r="C6" s="11" t="s">
        <v>407</v>
      </c>
      <c r="D6" s="11" t="s">
        <v>75</v>
      </c>
      <c r="E6" s="11" t="s">
        <v>404</v>
      </c>
    </row>
    <row r="7" ht="15" customHeight="1">
      <c r="A7" s="10" t="s">
        <v>408</v>
      </c>
      <c r="B7" s="10" t="s">
        <v>409</v>
      </c>
      <c r="C7" s="10" t="s">
        <v>73</v>
      </c>
      <c r="D7" s="10" t="s">
        <v>75</v>
      </c>
      <c r="E7" s="10" t="s">
        <v>404</v>
      </c>
    </row>
    <row r="8" ht="15" customHeight="1">
      <c r="A8" s="11" t="s">
        <v>410</v>
      </c>
      <c r="B8" s="11" t="s">
        <v>411</v>
      </c>
      <c r="C8" s="11" t="s">
        <v>412</v>
      </c>
      <c r="D8" s="11" t="s">
        <v>75</v>
      </c>
      <c r="E8" s="11" t="s">
        <v>74</v>
      </c>
    </row>
    <row r="9" ht="15" customHeight="1">
      <c r="A9" s="10" t="s">
        <v>413</v>
      </c>
      <c r="B9" s="10" t="s">
        <v>414</v>
      </c>
      <c r="C9" s="10" t="s">
        <v>415</v>
      </c>
      <c r="D9" s="10" t="s">
        <v>416</v>
      </c>
      <c r="E9" s="10" t="s">
        <v>83</v>
      </c>
    </row>
    <row r="10" ht="15" customHeight="1">
      <c r="A10" s="11" t="s">
        <v>417</v>
      </c>
      <c r="B10" s="11" t="s">
        <v>418</v>
      </c>
      <c r="C10" s="11" t="s">
        <v>419</v>
      </c>
      <c r="D10" s="11" t="s">
        <v>75</v>
      </c>
      <c r="E10" s="11" t="s">
        <v>404</v>
      </c>
    </row>
    <row r="12" ht="15" customHeight="1">
      <c r="A12" s="3" t="s">
        <v>420</v>
      </c>
    </row>
    <row r="13" ht="15" customHeight="1">
      <c r="A13" s="9" t="s">
        <v>421</v>
      </c>
      <c r="B13" s="9" t="s">
        <v>422</v>
      </c>
      <c r="C13" s="9" t="s">
        <v>423</v>
      </c>
      <c r="D13" s="9" t="s">
        <v>189</v>
      </c>
    </row>
    <row r="14" ht="15" customHeight="1">
      <c r="A14" s="10" t="s">
        <v>424</v>
      </c>
      <c r="B14" s="10" t="s">
        <v>425</v>
      </c>
      <c r="C14" s="10" t="s">
        <v>426</v>
      </c>
      <c r="D14" s="10" t="s">
        <v>427</v>
      </c>
    </row>
    <row r="15" ht="15" customHeight="1">
      <c r="A15" s="11" t="s">
        <v>428</v>
      </c>
      <c r="B15" s="11" t="s">
        <v>429</v>
      </c>
      <c r="C15" s="11" t="s">
        <v>430</v>
      </c>
      <c r="D15" s="11" t="s">
        <v>431</v>
      </c>
    </row>
    <row r="16" ht="15" customHeight="1">
      <c r="A16" s="10" t="s">
        <v>432</v>
      </c>
      <c r="B16" s="10" t="s">
        <v>433</v>
      </c>
      <c r="C16" s="10" t="s">
        <v>434</v>
      </c>
      <c r="D16" s="10" t="s">
        <v>435</v>
      </c>
    </row>
    <row r="17" ht="15" customHeight="1">
      <c r="A17" s="11" t="s">
        <v>436</v>
      </c>
      <c r="B17" s="11" t="s">
        <v>437</v>
      </c>
      <c r="C17" s="11" t="s">
        <v>438</v>
      </c>
      <c r="D17" s="11" t="s">
        <v>439</v>
      </c>
    </row>
    <row r="18" ht="15" customHeight="1">
      <c r="A18" s="10" t="s">
        <v>440</v>
      </c>
      <c r="B18" s="10" t="s">
        <v>441</v>
      </c>
      <c r="C18" s="10" t="s">
        <v>442</v>
      </c>
      <c r="D18" s="10" t="s">
        <v>443</v>
      </c>
    </row>
    <row r="20" ht="15" customHeight="1">
      <c r="A20" s="3" t="s">
        <v>444</v>
      </c>
    </row>
    <row r="21" ht="15" customHeight="1">
      <c r="A21" s="9" t="s">
        <v>154</v>
      </c>
      <c r="B21" s="9" t="s">
        <v>155</v>
      </c>
    </row>
    <row r="22" ht="15" customHeight="1">
      <c r="A22" s="10">
        <v>1</v>
      </c>
      <c r="B22" s="10" t="s">
        <v>445</v>
      </c>
    </row>
    <row r="23" ht="15" customHeight="1">
      <c r="A23" s="11">
        <v>2</v>
      </c>
      <c r="B23" s="11" t="s">
        <v>446</v>
      </c>
    </row>
    <row r="24" ht="15" customHeight="1">
      <c r="A24" s="10">
        <v>3</v>
      </c>
      <c r="B24" s="10" t="s">
        <v>447</v>
      </c>
    </row>
    <row r="25" ht="15" customHeight="1">
      <c r="A25" s="11">
        <v>4</v>
      </c>
      <c r="B25" s="11" t="s">
        <v>448</v>
      </c>
    </row>
    <row r="26" ht="15" customHeight="1">
      <c r="A26" s="10">
        <v>5</v>
      </c>
      <c r="B26" s="10" t="s">
        <v>449</v>
      </c>
    </row>
    <row r="27" ht="15" customHeight="1">
      <c r="A27" s="11">
        <v>6</v>
      </c>
      <c r="B27" s="11" t="s">
        <v>450</v>
      </c>
    </row>
    <row r="28" ht="15" customHeight="1">
      <c r="A28" s="10">
        <v>7</v>
      </c>
      <c r="B28" s="10" t="s">
        <v>451</v>
      </c>
    </row>
    <row r="29" ht="15" customHeight="1">
      <c r="A29" s="11">
        <v>8</v>
      </c>
      <c r="B29" s="11" t="s">
        <v>452</v>
      </c>
    </row>
    <row r="30" ht="15" customHeight="1">
      <c r="A30" s="10">
        <v>9</v>
      </c>
      <c r="B30" s="10" t="s">
        <v>453</v>
      </c>
    </row>
    <row r="32" ht="15" customHeight="1">
      <c r="A32" s="3" t="s">
        <v>454</v>
      </c>
    </row>
    <row r="34" ht="15" customHeight="1">
      <c r="A34" s="12" t="s">
        <v>455</v>
      </c>
    </row>
    <row r="35" ht="15" customHeight="1">
      <c r="A35" s="13" t="s">
        <v>177</v>
      </c>
      <c r="B35" s="14" t="s">
        <v>456</v>
      </c>
    </row>
    <row r="36" ht="15" customHeight="1">
      <c r="A36" s="13" t="s">
        <v>155</v>
      </c>
      <c r="B36" s="14" t="s">
        <v>457</v>
      </c>
    </row>
    <row r="37" ht="15" customHeight="1">
      <c r="A37" s="13" t="s">
        <v>458</v>
      </c>
      <c r="B37" s="14" t="s">
        <v>459</v>
      </c>
    </row>
    <row r="38" ht="15" customHeight="1">
      <c r="A38" s="13" t="s">
        <v>199</v>
      </c>
      <c r="B38" s="14" t="s">
        <v>460</v>
      </c>
    </row>
    <row r="39" ht="15" customHeight="1">
      <c r="A39" s="13" t="s">
        <v>375</v>
      </c>
      <c r="B39" s="14" t="s">
        <v>461</v>
      </c>
    </row>
    <row r="40" ht="15" customHeight="1">
      <c r="A40" s="13" t="s">
        <v>462</v>
      </c>
      <c r="B40" s="14" t="s">
        <v>463</v>
      </c>
    </row>
  </sheetData>
  <mergeCells>
    <mergeCell ref="A1:F1"/>
    <mergeCell ref="A3:F3"/>
    <mergeCell ref="A12:F12"/>
    <mergeCell ref="A20:F20"/>
    <mergeCell ref="A32:F32"/>
    <mergeCell ref="A34:F3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CA1EC8-A78B-0FA8-D29D-7F133A4EE787}" mc:Ignorable="x14ac xr xr2 xr3">
  <dimension ref="A1:GR1000"/>
  <sheetViews>
    <sheetView topLeftCell="A1" workbookViewId="0">
      <pane ySplit="1" topLeftCell="A6" activePane="bottomLeft" state="frozen"/>
      <selection pane="bottomLeft" activeCell="A1" sqref="A1:G1"/>
    </sheetView>
  </sheetViews>
  <sheetFormatPr defaultRowHeight="15" defaultColWidth="8.8515625" customHeight="1"/>
  <cols>
    <col min="1" max="1" width="35.7109375" customWidth="1"/>
    <col min="2" max="2" width="17.421875" customWidth="1"/>
    <col min="3" max="3" width="10.7109375" customWidth="1"/>
    <col min="4" max="4" width="46.140625" customWidth="1"/>
    <col min="5" max="5" width="14.140625" customWidth="1"/>
    <col min="6" max="6" width="19.7109375" customWidth="1"/>
    <col min="7" max="7" width="40.00390625" customWidth="1"/>
  </cols>
  <sheetData>
    <row r="1" ht="18" customHeight="1">
      <c r="A1" s="8" t="s">
        <v>464</v>
      </c>
    </row>
    <row r="3" ht="15" customHeight="1">
      <c r="A3" s="17" t="s">
        <v>465</v>
      </c>
      <c r="B3" s="17" t="s">
        <v>54</v>
      </c>
      <c r="C3" s="17" t="s">
        <v>466</v>
      </c>
      <c r="D3" s="17" t="s">
        <v>467</v>
      </c>
      <c r="E3" s="17" t="s">
        <v>468</v>
      </c>
      <c r="F3" s="17" t="s">
        <v>469</v>
      </c>
      <c r="G3" s="17" t="s">
        <v>470</v>
      </c>
    </row>
    <row r="4" ht="15" customHeight="1">
      <c r="A4" s="10" t="s">
        <v>471</v>
      </c>
      <c r="B4" s="10" t="s">
        <v>472</v>
      </c>
      <c r="C4" s="10">
        <v>0</v>
      </c>
      <c r="D4" s="10">
        <v>50</v>
      </c>
      <c r="E4" s="10">
        <v>150</v>
      </c>
      <c r="F4" s="10" t="s">
        <v>54</v>
      </c>
      <c r="G4" s="10" t="s">
        <v>473</v>
      </c>
    </row>
    <row r="5" ht="15" customHeight="1">
      <c r="A5" s="11" t="s">
        <v>474</v>
      </c>
      <c r="B5" s="11" t="s">
        <v>416</v>
      </c>
      <c r="C5" s="11">
        <v>149</v>
      </c>
      <c r="D5" s="11">
        <v>349</v>
      </c>
      <c r="E5" s="11">
        <v>599</v>
      </c>
      <c r="F5" s="11" t="s">
        <v>300</v>
      </c>
      <c r="G5" s="11" t="s">
        <v>475</v>
      </c>
    </row>
    <row r="6" ht="15" customHeight="1">
      <c r="A6" s="10" t="s">
        <v>476</v>
      </c>
      <c r="B6" s="10" t="s">
        <v>477</v>
      </c>
      <c r="C6" s="10">
        <v>0</v>
      </c>
      <c r="D6" s="10">
        <v>40</v>
      </c>
      <c r="E6" s="10">
        <v>180</v>
      </c>
      <c r="F6" s="10" t="s">
        <v>54</v>
      </c>
      <c r="G6" s="10" t="s">
        <v>478</v>
      </c>
    </row>
    <row r="7" ht="15" customHeight="1">
      <c r="A7" s="11" t="s">
        <v>479</v>
      </c>
      <c r="B7" s="11" t="s">
        <v>480</v>
      </c>
      <c r="C7" s="11">
        <v>50</v>
      </c>
      <c r="D7" s="11">
        <v>99</v>
      </c>
      <c r="E7" s="11">
        <v>179</v>
      </c>
      <c r="F7" s="11" t="s">
        <v>300</v>
      </c>
      <c r="G7" s="11" t="s">
        <v>481</v>
      </c>
    </row>
    <row r="8" ht="15" customHeight="1">
      <c r="A8" s="10" t="s">
        <v>482</v>
      </c>
      <c r="B8" s="10" t="s">
        <v>483</v>
      </c>
      <c r="C8" s="10">
        <v>0</v>
      </c>
      <c r="D8" s="10">
        <v>50</v>
      </c>
      <c r="E8" s="10">
        <v>99</v>
      </c>
      <c r="F8" s="10" t="s">
        <v>54</v>
      </c>
      <c r="G8" s="10" t="s">
        <v>484</v>
      </c>
    </row>
    <row r="9" ht="15" customHeight="1">
      <c r="A9" s="11" t="s">
        <v>485</v>
      </c>
      <c r="B9" s="11" t="s">
        <v>416</v>
      </c>
      <c r="C9" s="11">
        <v>0</v>
      </c>
      <c r="D9" s="11">
        <v>99</v>
      </c>
      <c r="E9" s="11">
        <v>199</v>
      </c>
      <c r="F9" s="11" t="s">
        <v>300</v>
      </c>
      <c r="G9" s="11" t="s">
        <v>486</v>
      </c>
    </row>
    <row r="10" ht="15" customHeight="1">
      <c r="A10" s="10" t="s">
        <v>487</v>
      </c>
      <c r="B10" s="10" t="s">
        <v>416</v>
      </c>
      <c r="C10" s="10">
        <v>97</v>
      </c>
      <c r="D10" s="10">
        <v>299</v>
      </c>
      <c r="E10" s="10">
        <v>999</v>
      </c>
      <c r="F10" s="10" t="s">
        <v>300</v>
      </c>
      <c r="G10" s="10" t="s">
        <v>488</v>
      </c>
    </row>
    <row r="11" ht="15" customHeight="1">
      <c r="A11" s="11" t="s">
        <v>489</v>
      </c>
      <c r="B11" s="11" t="s">
        <v>490</v>
      </c>
      <c r="C11" s="11">
        <v>0</v>
      </c>
      <c r="D11" s="11">
        <v>0</v>
      </c>
      <c r="E11" s="11">
        <v>50</v>
      </c>
      <c r="F11" s="11" t="s">
        <v>54</v>
      </c>
      <c r="G11" s="11" t="s">
        <v>491</v>
      </c>
    </row>
    <row r="12" ht="15" customHeight="1">
      <c r="A12" s="10" t="s">
        <v>492</v>
      </c>
      <c r="B12" s="10" t="s">
        <v>493</v>
      </c>
      <c r="C12" s="10">
        <v>0</v>
      </c>
      <c r="D12" s="10">
        <v>100</v>
      </c>
      <c r="E12" s="10">
        <v>300</v>
      </c>
      <c r="F12" s="10" t="s">
        <v>300</v>
      </c>
      <c r="G12" s="10" t="s">
        <v>494</v>
      </c>
    </row>
    <row r="13" ht="15" customHeight="1">
      <c r="A13" s="11" t="s">
        <v>495</v>
      </c>
      <c r="B13" s="11" t="s">
        <v>75</v>
      </c>
      <c r="C13" s="11">
        <v>0</v>
      </c>
      <c r="D13" s="11">
        <v>0</v>
      </c>
      <c r="E13" s="11">
        <v>29</v>
      </c>
      <c r="F13" s="11" t="s">
        <v>54</v>
      </c>
      <c r="G13" s="11" t="s">
        <v>496</v>
      </c>
    </row>
    <row r="14" ht="15" customHeight="1">
      <c r="A14" s="10" t="s">
        <v>497</v>
      </c>
      <c r="B14" s="10" t="s">
        <v>75</v>
      </c>
      <c r="C14" s="10">
        <v>0</v>
      </c>
      <c r="D14" s="10">
        <v>0</v>
      </c>
      <c r="E14" s="10">
        <v>0</v>
      </c>
      <c r="F14" s="10" t="s">
        <v>54</v>
      </c>
      <c r="G14" s="10" t="s">
        <v>498</v>
      </c>
    </row>
    <row r="15" ht="15" customHeight="1">
      <c r="A15" s="11" t="s">
        <v>499</v>
      </c>
      <c r="B15" s="11" t="s">
        <v>416</v>
      </c>
      <c r="C15" s="11">
        <v>0</v>
      </c>
      <c r="D15" s="11">
        <v>80</v>
      </c>
      <c r="E15" s="11">
        <v>180</v>
      </c>
      <c r="F15" s="11" t="s">
        <v>300</v>
      </c>
      <c r="G15" s="11" t="s">
        <v>500</v>
      </c>
    </row>
    <row r="17" ht="15" customHeight="1">
      <c r="A17" s="3" t="s">
        <v>501</v>
      </c>
      <c r="B17" s="3">
        <f t="shared" si="0" ref="B17:E17">SUM(B4:B15)</f>
        <v>0</v>
      </c>
      <c r="C17" s="3">
        <f t="shared" si="0"/>
        <v>296</v>
      </c>
      <c r="D17" s="3">
        <f t="shared" si="0"/>
        <v>1166</v>
      </c>
      <c r="E17" s="3">
        <f t="shared" si="0"/>
        <v>2964</v>
      </c>
    </row>
    <row r="19" ht="15" customHeight="1">
      <c r="A19" s="18" t="s">
        <v>502</v>
      </c>
    </row>
    <row r="20" ht="15" customHeight="1">
      <c r="A20" s="9" t="s">
        <v>503</v>
      </c>
      <c r="B20" s="9" t="s">
        <v>297</v>
      </c>
      <c r="C20" s="9" t="s">
        <v>504</v>
      </c>
      <c r="D20" s="9" t="s">
        <v>505</v>
      </c>
    </row>
    <row r="21" ht="15" customHeight="1">
      <c r="A21" s="10" t="s">
        <v>506</v>
      </c>
      <c r="B21" s="10">
        <v>149</v>
      </c>
      <c r="C21" s="10" t="s">
        <v>5</v>
      </c>
      <c r="D21" s="10" t="s">
        <v>507</v>
      </c>
    </row>
    <row r="22" ht="15" customHeight="1">
      <c r="A22" s="11" t="s">
        <v>508</v>
      </c>
      <c r="B22" s="11">
        <v>97</v>
      </c>
      <c r="C22" s="11" t="s">
        <v>5</v>
      </c>
      <c r="D22" s="11" t="s">
        <v>509</v>
      </c>
    </row>
    <row r="23" ht="15" customHeight="1">
      <c r="A23" s="10" t="s">
        <v>510</v>
      </c>
      <c r="B23" s="10">
        <v>0</v>
      </c>
      <c r="C23" s="10" t="s">
        <v>7</v>
      </c>
      <c r="D23" s="10" t="s">
        <v>511</v>
      </c>
    </row>
    <row r="24" ht="15" customHeight="1">
      <c r="A24" s="19" t="s">
        <v>512</v>
      </c>
      <c r="B24" s="19">
        <v>246</v>
      </c>
      <c r="C24" s="14" t="s">
        <v>513</v>
      </c>
      <c r="D24" s="14" t="s">
        <v>514</v>
      </c>
    </row>
  </sheetData>
  <mergeCells>
    <mergeCell ref="A1:G1"/>
    <mergeCell ref="A19:G19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91D8953-81F8-0D1E-A28B-E711E541F2B2}" mc:Ignorable="x14ac xr xr2 xr3">
  <dimension ref="A1:GR1000"/>
  <sheetViews>
    <sheetView topLeftCell="A1" workbookViewId="0" tabSelected="1">
      <pane ySplit="1" topLeftCell="A21" activePane="bottomLeft" state="frozen"/>
      <selection pane="bottomLeft" activeCell="A1" sqref="A1:H1"/>
    </sheetView>
  </sheetViews>
  <sheetFormatPr defaultRowHeight="15" defaultColWidth="8.8515625" customHeight="1"/>
  <cols>
    <col min="1" max="1" width="15.421875" customWidth="1"/>
    <col min="2" max="2" width="22.8515625" customWidth="1"/>
    <col min="3" max="3" width="40.00390625" customWidth="1"/>
    <col min="4" max="4" width="25.7109375" customWidth="1"/>
    <col min="5" max="5" width="13.00390625" customWidth="1"/>
    <col min="6" max="6" width="30.7109375" customWidth="1"/>
    <col min="7" max="7" width="4.7109375" customWidth="1"/>
    <col min="8" max="8" width="10.28125" customWidth="1"/>
  </cols>
  <sheetData>
    <row r="1" ht="18" customHeight="1">
      <c r="A1" s="8" t="s">
        <v>515</v>
      </c>
    </row>
    <row r="3" ht="15" customHeight="1">
      <c r="A3" s="3" t="s">
        <v>516</v>
      </c>
    </row>
    <row r="4" ht="15" customHeight="1">
      <c r="A4" s="9" t="s">
        <v>517</v>
      </c>
      <c r="B4" s="9" t="s">
        <v>465</v>
      </c>
      <c r="C4" s="9" t="s">
        <v>518</v>
      </c>
      <c r="D4" s="9" t="s">
        <v>519</v>
      </c>
      <c r="E4" s="9" t="s">
        <v>520</v>
      </c>
      <c r="F4" s="9" t="s">
        <v>521</v>
      </c>
      <c r="G4" s="9" t="s">
        <v>136</v>
      </c>
      <c r="H4" s="9" t="s">
        <v>522</v>
      </c>
    </row>
    <row r="5" ht="15" customHeight="1">
      <c r="A5" s="10">
        <v>1</v>
      </c>
      <c r="B5" s="10" t="s">
        <v>523</v>
      </c>
      <c r="C5" s="10" t="s">
        <v>524</v>
      </c>
      <c r="D5" s="10" t="s">
        <v>525</v>
      </c>
      <c r="E5" s="10" t="s">
        <v>526</v>
      </c>
      <c r="F5" s="10" t="s">
        <v>527</v>
      </c>
      <c r="G5" s="10" t="s">
        <v>43</v>
      </c>
      <c r="H5" s="10" t="s">
        <v>528</v>
      </c>
    </row>
    <row r="6" ht="15" customHeight="1">
      <c r="A6" s="11">
        <v>1</v>
      </c>
      <c r="B6" s="11" t="s">
        <v>529</v>
      </c>
      <c r="C6" s="11" t="s">
        <v>530</v>
      </c>
      <c r="D6" s="11" t="s">
        <v>531</v>
      </c>
      <c r="E6" s="11" t="s">
        <v>532</v>
      </c>
      <c r="F6" s="11" t="s">
        <v>533</v>
      </c>
      <c r="G6" s="11" t="s">
        <v>43</v>
      </c>
      <c r="H6" s="11" t="s">
        <v>528</v>
      </c>
    </row>
    <row r="7" ht="15" customHeight="1">
      <c r="A7" s="10">
        <v>2</v>
      </c>
      <c r="B7" s="10" t="s">
        <v>534</v>
      </c>
      <c r="C7" s="10" t="s">
        <v>535</v>
      </c>
      <c r="D7" s="10" t="s">
        <v>536</v>
      </c>
      <c r="E7" s="10" t="s">
        <v>532</v>
      </c>
      <c r="F7" s="10" t="s">
        <v>537</v>
      </c>
      <c r="G7" s="10" t="s">
        <v>43</v>
      </c>
      <c r="H7" s="10" t="s">
        <v>528</v>
      </c>
    </row>
    <row r="8" ht="15" customHeight="1">
      <c r="A8" s="11">
        <v>2</v>
      </c>
      <c r="B8" s="11" t="s">
        <v>538</v>
      </c>
      <c r="C8" s="11" t="s">
        <v>539</v>
      </c>
      <c r="D8" s="11" t="s">
        <v>540</v>
      </c>
      <c r="E8" s="11" t="s">
        <v>532</v>
      </c>
      <c r="F8" s="11" t="s">
        <v>541</v>
      </c>
      <c r="G8" s="11" t="s">
        <v>43</v>
      </c>
      <c r="H8" s="11" t="s">
        <v>528</v>
      </c>
    </row>
    <row r="9" ht="15" customHeight="1">
      <c r="A9" s="10">
        <v>3</v>
      </c>
      <c r="B9" s="10" t="s">
        <v>542</v>
      </c>
      <c r="C9" s="10" t="s">
        <v>543</v>
      </c>
      <c r="D9" s="10" t="s">
        <v>254</v>
      </c>
      <c r="E9" s="10" t="s">
        <v>544</v>
      </c>
      <c r="F9" s="10" t="s">
        <v>545</v>
      </c>
      <c r="G9" s="10" t="s">
        <v>546</v>
      </c>
      <c r="H9" s="10" t="s">
        <v>528</v>
      </c>
    </row>
    <row r="10" ht="15" customHeight="1">
      <c r="A10" s="11">
        <v>3</v>
      </c>
      <c r="B10" s="11" t="s">
        <v>547</v>
      </c>
      <c r="C10" s="11" t="s">
        <v>548</v>
      </c>
      <c r="D10" s="11" t="s">
        <v>549</v>
      </c>
      <c r="E10" s="11" t="s">
        <v>544</v>
      </c>
      <c r="F10" s="11" t="s">
        <v>550</v>
      </c>
      <c r="G10" s="11" t="s">
        <v>301</v>
      </c>
      <c r="H10" s="11" t="s">
        <v>528</v>
      </c>
    </row>
    <row r="11" ht="15" customHeight="1">
      <c r="A11" s="10">
        <v>4</v>
      </c>
      <c r="B11" s="10" t="s">
        <v>551</v>
      </c>
      <c r="C11" s="10" t="s">
        <v>552</v>
      </c>
      <c r="D11" s="10" t="s">
        <v>553</v>
      </c>
      <c r="E11" s="10" t="s">
        <v>526</v>
      </c>
      <c r="F11" s="10" t="s">
        <v>554</v>
      </c>
      <c r="G11" s="10" t="s">
        <v>43</v>
      </c>
      <c r="H11" s="10" t="s">
        <v>528</v>
      </c>
    </row>
    <row r="12" ht="15" customHeight="1">
      <c r="A12" s="11">
        <v>4</v>
      </c>
      <c r="B12" s="11" t="s">
        <v>555</v>
      </c>
      <c r="C12" s="11" t="s">
        <v>556</v>
      </c>
      <c r="D12" s="11" t="s">
        <v>557</v>
      </c>
      <c r="E12" s="11" t="s">
        <v>532</v>
      </c>
      <c r="F12" s="11" t="s">
        <v>558</v>
      </c>
      <c r="G12" s="11" t="s">
        <v>43</v>
      </c>
      <c r="H12" s="11" t="s">
        <v>528</v>
      </c>
    </row>
    <row r="14" ht="15" customHeight="1">
      <c r="A14" s="3" t="s">
        <v>559</v>
      </c>
    </row>
    <row r="15" ht="15" customHeight="1">
      <c r="A15" s="9" t="s">
        <v>517</v>
      </c>
      <c r="B15" s="9" t="s">
        <v>465</v>
      </c>
      <c r="C15" s="9" t="s">
        <v>518</v>
      </c>
      <c r="D15" s="9" t="s">
        <v>519</v>
      </c>
      <c r="E15" s="9" t="s">
        <v>520</v>
      </c>
      <c r="F15" s="9" t="s">
        <v>521</v>
      </c>
      <c r="G15" s="9" t="s">
        <v>136</v>
      </c>
      <c r="H15" s="9" t="s">
        <v>522</v>
      </c>
    </row>
    <row r="16" ht="15" customHeight="1">
      <c r="A16" s="10">
        <v>5</v>
      </c>
      <c r="B16" s="10" t="s">
        <v>560</v>
      </c>
      <c r="C16" s="10" t="s">
        <v>561</v>
      </c>
      <c r="D16" s="10" t="s">
        <v>562</v>
      </c>
      <c r="E16" s="10" t="s">
        <v>532</v>
      </c>
      <c r="F16" s="10" t="s">
        <v>563</v>
      </c>
      <c r="G16" s="10" t="s">
        <v>564</v>
      </c>
      <c r="H16" s="10" t="s">
        <v>528</v>
      </c>
    </row>
    <row r="17" ht="15" customHeight="1">
      <c r="A17" s="11">
        <v>5</v>
      </c>
      <c r="B17" s="11" t="s">
        <v>565</v>
      </c>
      <c r="C17" s="11" t="s">
        <v>566</v>
      </c>
      <c r="D17" s="11" t="s">
        <v>567</v>
      </c>
      <c r="E17" s="11" t="s">
        <v>544</v>
      </c>
      <c r="F17" s="11" t="s">
        <v>568</v>
      </c>
      <c r="G17" s="11" t="s">
        <v>43</v>
      </c>
      <c r="H17" s="11" t="s">
        <v>528</v>
      </c>
    </row>
    <row r="18" ht="15" customHeight="1">
      <c r="A18" s="10">
        <v>6</v>
      </c>
      <c r="B18" s="10" t="s">
        <v>569</v>
      </c>
      <c r="C18" s="10" t="s">
        <v>570</v>
      </c>
      <c r="D18" s="10" t="s">
        <v>571</v>
      </c>
      <c r="E18" s="10" t="s">
        <v>544</v>
      </c>
      <c r="F18" s="10" t="s">
        <v>572</v>
      </c>
      <c r="G18" s="10" t="s">
        <v>43</v>
      </c>
      <c r="H18" s="10" t="s">
        <v>528</v>
      </c>
    </row>
    <row r="19" ht="15" customHeight="1">
      <c r="A19" s="11">
        <v>6</v>
      </c>
      <c r="B19" s="11" t="s">
        <v>573</v>
      </c>
      <c r="C19" s="11" t="s">
        <v>574</v>
      </c>
      <c r="D19" s="11" t="s">
        <v>575</v>
      </c>
      <c r="E19" s="11" t="s">
        <v>526</v>
      </c>
      <c r="F19" s="11" t="s">
        <v>576</v>
      </c>
      <c r="G19" s="11" t="s">
        <v>43</v>
      </c>
      <c r="H19" s="11" t="s">
        <v>528</v>
      </c>
    </row>
    <row r="20" ht="15" customHeight="1">
      <c r="A20" s="10">
        <v>7</v>
      </c>
      <c r="B20" s="10" t="s">
        <v>577</v>
      </c>
      <c r="C20" s="10" t="s">
        <v>578</v>
      </c>
      <c r="D20" s="10" t="s">
        <v>579</v>
      </c>
      <c r="E20" s="10" t="s">
        <v>532</v>
      </c>
      <c r="F20" s="10" t="s">
        <v>580</v>
      </c>
      <c r="G20" s="10" t="s">
        <v>43</v>
      </c>
      <c r="H20" s="10" t="s">
        <v>528</v>
      </c>
    </row>
    <row r="21" ht="15" customHeight="1">
      <c r="A21" s="11">
        <v>8</v>
      </c>
      <c r="B21" s="11" t="s">
        <v>581</v>
      </c>
      <c r="C21" s="11" t="s">
        <v>582</v>
      </c>
      <c r="D21" s="11" t="s">
        <v>583</v>
      </c>
      <c r="E21" s="11" t="s">
        <v>584</v>
      </c>
      <c r="F21" s="11" t="s">
        <v>585</v>
      </c>
      <c r="G21" s="11" t="s">
        <v>43</v>
      </c>
      <c r="H21" s="11" t="s">
        <v>528</v>
      </c>
    </row>
    <row r="23" ht="15" customHeight="1">
      <c r="A23" s="3" t="s">
        <v>586</v>
      </c>
    </row>
    <row r="24" ht="15" customHeight="1">
      <c r="A24" s="9" t="s">
        <v>517</v>
      </c>
      <c r="B24" s="9" t="s">
        <v>465</v>
      </c>
      <c r="C24" s="9" t="s">
        <v>518</v>
      </c>
      <c r="D24" s="9" t="s">
        <v>519</v>
      </c>
      <c r="E24" s="9" t="s">
        <v>520</v>
      </c>
      <c r="F24" s="9" t="s">
        <v>521</v>
      </c>
      <c r="G24" s="9" t="s">
        <v>136</v>
      </c>
      <c r="H24" s="9" t="s">
        <v>522</v>
      </c>
    </row>
    <row r="25" ht="15" customHeight="1">
      <c r="A25" s="10" t="s">
        <v>587</v>
      </c>
      <c r="B25" s="10" t="s">
        <v>588</v>
      </c>
      <c r="C25" s="10" t="s">
        <v>589</v>
      </c>
      <c r="D25" s="10" t="s">
        <v>590</v>
      </c>
      <c r="E25" s="10" t="s">
        <v>526</v>
      </c>
      <c r="F25" s="10" t="s">
        <v>591</v>
      </c>
      <c r="G25" s="10" t="s">
        <v>43</v>
      </c>
      <c r="H25" s="10" t="s">
        <v>528</v>
      </c>
    </row>
    <row r="26" ht="15" customHeight="1">
      <c r="A26" s="11" t="s">
        <v>587</v>
      </c>
      <c r="B26" s="11" t="s">
        <v>592</v>
      </c>
      <c r="C26" s="11" t="s">
        <v>593</v>
      </c>
      <c r="D26" s="11" t="s">
        <v>594</v>
      </c>
      <c r="E26" s="11" t="s">
        <v>532</v>
      </c>
      <c r="F26" s="11" t="s">
        <v>595</v>
      </c>
      <c r="G26" s="11" t="s">
        <v>43</v>
      </c>
      <c r="H26" s="11" t="s">
        <v>528</v>
      </c>
    </row>
    <row r="27" ht="15" customHeight="1">
      <c r="A27" s="10" t="s">
        <v>596</v>
      </c>
      <c r="B27" s="10" t="s">
        <v>597</v>
      </c>
      <c r="C27" s="10" t="s">
        <v>598</v>
      </c>
      <c r="D27" s="10" t="s">
        <v>599</v>
      </c>
      <c r="E27" s="10" t="s">
        <v>532</v>
      </c>
      <c r="F27" s="10" t="s">
        <v>600</v>
      </c>
      <c r="G27" s="10" t="s">
        <v>601</v>
      </c>
      <c r="H27" s="10" t="s">
        <v>528</v>
      </c>
    </row>
    <row r="28" ht="15" customHeight="1">
      <c r="A28" s="11" t="s">
        <v>596</v>
      </c>
      <c r="B28" s="11" t="s">
        <v>602</v>
      </c>
      <c r="C28" s="11" t="s">
        <v>603</v>
      </c>
      <c r="D28" s="11" t="s">
        <v>604</v>
      </c>
      <c r="E28" s="11" t="s">
        <v>544</v>
      </c>
      <c r="F28" s="11" t="s">
        <v>605</v>
      </c>
      <c r="G28" s="11" t="s">
        <v>43</v>
      </c>
      <c r="H28" s="11" t="s">
        <v>528</v>
      </c>
    </row>
    <row r="30" ht="15" customHeight="1">
      <c r="A30" s="3" t="s">
        <v>606</v>
      </c>
    </row>
    <row r="31" ht="15" customHeight="1">
      <c r="A31" s="9" t="s">
        <v>504</v>
      </c>
      <c r="B31" s="9" t="s">
        <v>465</v>
      </c>
      <c r="C31" s="9" t="s">
        <v>607</v>
      </c>
      <c r="D31" s="9" t="s">
        <v>180</v>
      </c>
      <c r="E31" s="9" t="s">
        <v>608</v>
      </c>
      <c r="F31" s="9" t="s">
        <v>609</v>
      </c>
    </row>
    <row r="32" ht="15" customHeight="1">
      <c r="A32" s="20" t="s">
        <v>610</v>
      </c>
      <c r="B32" s="20" t="s">
        <v>523</v>
      </c>
      <c r="C32" s="20" t="s">
        <v>16</v>
      </c>
      <c r="D32" s="20" t="s">
        <v>611</v>
      </c>
      <c r="E32" s="20" t="s">
        <v>44</v>
      </c>
      <c r="F32" s="20" t="s">
        <v>612</v>
      </c>
    </row>
    <row r="33" ht="15" customHeight="1">
      <c r="A33" s="20" t="s">
        <v>610</v>
      </c>
      <c r="B33" s="20" t="s">
        <v>4</v>
      </c>
      <c r="C33" s="20" t="s">
        <v>16</v>
      </c>
      <c r="D33" s="20" t="s">
        <v>5</v>
      </c>
      <c r="E33" s="20" t="s">
        <v>44</v>
      </c>
      <c r="F33" s="20" t="s">
        <v>613</v>
      </c>
    </row>
    <row r="34" ht="15" customHeight="1">
      <c r="A34" s="21" t="s">
        <v>614</v>
      </c>
      <c r="B34" s="21" t="s">
        <v>10</v>
      </c>
      <c r="C34" s="21" t="s">
        <v>7</v>
      </c>
      <c r="D34" s="21" t="s">
        <v>611</v>
      </c>
      <c r="E34" s="21" t="s">
        <v>615</v>
      </c>
      <c r="F34" s="21" t="s">
        <v>616</v>
      </c>
    </row>
    <row r="35" ht="15" customHeight="1">
      <c r="A35" s="21" t="s">
        <v>614</v>
      </c>
      <c r="B35" s="21" t="s">
        <v>19</v>
      </c>
      <c r="C35" s="21" t="s">
        <v>7</v>
      </c>
      <c r="D35" s="21" t="s">
        <v>5</v>
      </c>
      <c r="E35" s="21" t="s">
        <v>617</v>
      </c>
      <c r="F35" s="21" t="s">
        <v>618</v>
      </c>
    </row>
    <row r="36" ht="15" customHeight="1">
      <c r="A36" s="22" t="s">
        <v>619</v>
      </c>
      <c r="B36" s="22" t="s">
        <v>22</v>
      </c>
      <c r="C36" s="22" t="s">
        <v>7</v>
      </c>
      <c r="D36" s="22" t="s">
        <v>7</v>
      </c>
      <c r="E36" s="22" t="s">
        <v>620</v>
      </c>
      <c r="F36" s="22" t="s">
        <v>621</v>
      </c>
    </row>
    <row r="37" ht="15" customHeight="1">
      <c r="A37" s="22" t="s">
        <v>619</v>
      </c>
      <c r="B37" s="22" t="s">
        <v>29</v>
      </c>
      <c r="C37" s="22" t="s">
        <v>5</v>
      </c>
      <c r="D37" s="22" t="s">
        <v>5</v>
      </c>
      <c r="E37" s="22" t="s">
        <v>615</v>
      </c>
      <c r="F37" s="22" t="s">
        <v>616</v>
      </c>
    </row>
    <row r="38" ht="15" customHeight="1">
      <c r="A38" s="11" t="s">
        <v>622</v>
      </c>
      <c r="B38" s="11" t="s">
        <v>26</v>
      </c>
      <c r="C38" s="11" t="s">
        <v>16</v>
      </c>
      <c r="D38" s="11" t="s">
        <v>7</v>
      </c>
      <c r="E38" s="11" t="s">
        <v>617</v>
      </c>
      <c r="F38" s="11" t="s">
        <v>623</v>
      </c>
    </row>
    <row r="39" ht="15" customHeight="1">
      <c r="A39" s="11" t="s">
        <v>622</v>
      </c>
      <c r="B39" s="11" t="s">
        <v>32</v>
      </c>
      <c r="C39" s="11" t="s">
        <v>16</v>
      </c>
      <c r="D39" s="11" t="s">
        <v>16</v>
      </c>
      <c r="E39" s="11" t="s">
        <v>44</v>
      </c>
      <c r="F39" s="11" t="s">
        <v>624</v>
      </c>
    </row>
  </sheetData>
  <mergeCells>
    <mergeCell ref="A1:H1"/>
    <mergeCell ref="A3:H3"/>
    <mergeCell ref="A14:H14"/>
    <mergeCell ref="A23:H23"/>
    <mergeCell ref="A30:H3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2026-02-11T12:55:25Z</dcterms:created>
</cp:coreProperties>
</file>